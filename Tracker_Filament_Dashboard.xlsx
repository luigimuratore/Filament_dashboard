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20" tabRatio="600" firstSheet="0" activeTab="0" autoFilterDateGrouping="1"/>
  </bookViews>
  <sheets>
    <sheet name="Bobine" sheetId="1" state="visible" r:id="rId1"/>
    <sheet name="Ugelli" sheetId="2" state="visible" r:id="rId2"/>
    <sheet name="Stampe" sheetId="3" state="visible" r:id="rId3"/>
    <sheet name="Liste" sheetId="4" state="visible" r:id="rId4"/>
    <sheet name="Pianificazion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63238"/>
      </patternFill>
    </fill>
    <fill>
      <patternFill patternType="solid">
        <fgColor rgb="FF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tabSelected="1" workbookViewId="0">
      <pane ySplit="1" topLeftCell="A2" activePane="bottomLeft" state="frozen"/>
      <selection pane="bottomLeft" activeCell="F16" sqref="F16"/>
    </sheetView>
  </sheetViews>
  <sheetFormatPr baseColWidth="10" defaultColWidth="8.83203125" defaultRowHeight="15"/>
  <cols>
    <col width="13" customWidth="1" min="1" max="1"/>
    <col width="18" customWidth="1" min="2" max="4"/>
    <col width="17" customWidth="1" min="5" max="9"/>
    <col width="18" customWidth="1" min="10" max="10"/>
  </cols>
  <sheetData>
    <row r="1">
      <c r="A1" s="4" t="inlineStr">
        <is>
          <t>ID Bobina</t>
        </is>
      </c>
      <c r="B1" s="4" t="inlineStr">
        <is>
          <t>Materiale</t>
        </is>
      </c>
      <c r="C1" s="4" t="inlineStr">
        <is>
          <t>Marca</t>
        </is>
      </c>
      <c r="D1" s="4" t="inlineStr">
        <is>
          <t>Colore</t>
        </is>
      </c>
      <c r="E1" s="4" t="inlineStr">
        <is>
          <t>Peso iniziale (g)</t>
        </is>
      </c>
      <c r="F1" s="4" t="inlineStr">
        <is>
          <t>Grammi usati</t>
        </is>
      </c>
      <c r="G1" s="4" t="inlineStr">
        <is>
          <t>Grammi rimasti</t>
        </is>
      </c>
      <c r="H1" s="4" t="inlineStr">
        <is>
          <t>% residua</t>
        </is>
      </c>
      <c r="I1" s="4" t="inlineStr">
        <is>
          <t>Stato</t>
        </is>
      </c>
      <c r="J1" s="4" t="inlineStr">
        <is>
          <t>Note</t>
        </is>
      </c>
      <c r="K1" t="inlineStr">
        <is>
          <t>Archivio</t>
        </is>
      </c>
    </row>
    <row r="2">
      <c r="A2" t="inlineStr">
        <is>
          <t>B001</t>
        </is>
      </c>
      <c r="B2" t="inlineStr">
        <is>
          <t>ABS</t>
        </is>
      </c>
      <c r="C2" t="inlineStr">
        <is>
          <t>3ntr</t>
        </is>
      </c>
      <c r="D2" t="inlineStr">
        <is>
          <t>Nero</t>
        </is>
      </c>
      <c r="E2" t="n">
        <v>5000</v>
      </c>
      <c r="F2" t="n">
        <v>92</v>
      </c>
      <c r="G2">
        <f>MAX(0,E2-F2)</f>
        <v/>
      </c>
      <c r="H2" s="5">
        <f>IFERROR(G2/E2,0)</f>
        <v/>
      </c>
      <c r="I2" t="inlineStr">
        <is>
          <t>Caricata</t>
        </is>
      </c>
      <c r="J2" t="inlineStr">
        <is>
          <t>Importata dal file originale</t>
        </is>
      </c>
    </row>
    <row r="3">
      <c r="A3" t="inlineStr">
        <is>
          <t>B002</t>
        </is>
      </c>
      <c r="B3" t="inlineStr">
        <is>
          <t>Supporto</t>
        </is>
      </c>
      <c r="C3" t="inlineStr">
        <is>
          <t>3ntr</t>
        </is>
      </c>
      <c r="D3" t="inlineStr">
        <is>
          <t>Bianco</t>
        </is>
      </c>
      <c r="E3" t="n">
        <v>1000</v>
      </c>
      <c r="F3" t="n">
        <v>420</v>
      </c>
      <c r="G3">
        <f>MAX(0,E3-F3)</f>
        <v/>
      </c>
      <c r="H3" s="5">
        <f>IFERROR(G3/E3,0)</f>
        <v/>
      </c>
      <c r="I3" t="inlineStr">
        <is>
          <t>Caricata</t>
        </is>
      </c>
      <c r="J3" t="inlineStr">
        <is>
          <t>Importata dal file originale</t>
        </is>
      </c>
    </row>
    <row r="4">
      <c r="A4" t="inlineStr">
        <is>
          <t>B003</t>
        </is>
      </c>
      <c r="B4" t="inlineStr">
        <is>
          <t>ABS</t>
        </is>
      </c>
      <c r="C4" t="inlineStr">
        <is>
          <t>3ntr</t>
        </is>
      </c>
      <c r="D4" t="inlineStr">
        <is>
          <t>Arancione</t>
        </is>
      </c>
      <c r="E4" t="n">
        <v>1000</v>
      </c>
      <c r="F4" t="n">
        <v>692</v>
      </c>
      <c r="G4">
        <f>MAX(0,E4-F4)</f>
        <v/>
      </c>
      <c r="H4" s="5">
        <f>IFERROR(G4/E4,0)</f>
        <v/>
      </c>
      <c r="I4" t="inlineStr">
        <is>
          <t>Caricata</t>
        </is>
      </c>
      <c r="J4" t="inlineStr">
        <is>
          <t>Importata dal file originale</t>
        </is>
      </c>
    </row>
    <row r="5">
      <c r="A5" t="inlineStr">
        <is>
          <t>B004</t>
        </is>
      </c>
      <c r="B5" t="inlineStr">
        <is>
          <t>ABS</t>
        </is>
      </c>
      <c r="C5" t="inlineStr">
        <is>
          <t>3ntr</t>
        </is>
      </c>
      <c r="D5" t="inlineStr">
        <is>
          <t>Nero</t>
        </is>
      </c>
      <c r="E5" t="n">
        <v>1000</v>
      </c>
      <c r="F5" t="n">
        <v>0</v>
      </c>
      <c r="G5">
        <f>MAX(0,E5-F5)</f>
        <v/>
      </c>
      <c r="H5" s="5">
        <f>IFERROR(G5/E5,0)</f>
        <v/>
      </c>
      <c r="I5" t="inlineStr">
        <is>
          <t>Disponibile</t>
        </is>
      </c>
    </row>
    <row r="6">
      <c r="A6" t="inlineStr">
        <is>
          <t>B005</t>
        </is>
      </c>
      <c r="B6" t="inlineStr">
        <is>
          <t>ABS</t>
        </is>
      </c>
      <c r="C6" t="inlineStr">
        <is>
          <t>3ntr</t>
        </is>
      </c>
      <c r="D6" t="inlineStr">
        <is>
          <t>Giallo</t>
        </is>
      </c>
      <c r="E6" t="n">
        <v>1000</v>
      </c>
      <c r="F6" t="n">
        <v>0</v>
      </c>
      <c r="G6">
        <f>MAX(0,E6-F6)</f>
        <v/>
      </c>
      <c r="H6" s="5">
        <f>IFERROR(G6/E6,0)</f>
        <v/>
      </c>
      <c r="I6" t="inlineStr">
        <is>
          <t>Disponibile</t>
        </is>
      </c>
    </row>
    <row r="7">
      <c r="A7" t="inlineStr">
        <is>
          <t>B006</t>
        </is>
      </c>
      <c r="B7" t="inlineStr">
        <is>
          <t>ABS</t>
        </is>
      </c>
      <c r="C7" t="inlineStr">
        <is>
          <t>3ntr</t>
        </is>
      </c>
      <c r="D7" t="inlineStr">
        <is>
          <t>Verde</t>
        </is>
      </c>
      <c r="E7" t="n">
        <v>1000</v>
      </c>
      <c r="F7" t="n">
        <v>64</v>
      </c>
      <c r="G7">
        <f>MAX(0,E7-F7)</f>
        <v/>
      </c>
      <c r="H7" s="5">
        <f>IFERROR(G7/E7,0)</f>
        <v/>
      </c>
      <c r="I7" t="inlineStr">
        <is>
          <t>Disponibile</t>
        </is>
      </c>
    </row>
    <row r="8">
      <c r="A8" t="inlineStr">
        <is>
          <t>B007</t>
        </is>
      </c>
      <c r="B8" t="inlineStr">
        <is>
          <t>ABS</t>
        </is>
      </c>
      <c r="C8" t="inlineStr">
        <is>
          <t>3ntr</t>
        </is>
      </c>
      <c r="D8" t="inlineStr">
        <is>
          <t>fuchsia</t>
        </is>
      </c>
      <c r="E8" t="n">
        <v>1000</v>
      </c>
      <c r="F8" t="n">
        <v>0</v>
      </c>
      <c r="G8">
        <f>MAX(0,E8-F8)</f>
        <v/>
      </c>
      <c r="H8" s="5">
        <f>IFERROR(G8/E8,0)</f>
        <v/>
      </c>
      <c r="I8" t="inlineStr">
        <is>
          <t>Disponibile</t>
        </is>
      </c>
      <c r="K8" t="inlineStr">
        <is>
          <t>Eliminata</t>
        </is>
      </c>
    </row>
    <row r="9">
      <c r="A9" t="inlineStr">
        <is>
          <t>B008</t>
        </is>
      </c>
      <c r="B9" t="inlineStr">
        <is>
          <t>ABS</t>
        </is>
      </c>
      <c r="C9" t="inlineStr">
        <is>
          <t>3ntr</t>
        </is>
      </c>
      <c r="D9" t="inlineStr">
        <is>
          <t>Rosso</t>
        </is>
      </c>
      <c r="E9" t="n">
        <v>1000</v>
      </c>
      <c r="F9" t="n">
        <v>0</v>
      </c>
      <c r="G9">
        <f>MAX(0,E9-F9)</f>
        <v/>
      </c>
      <c r="H9" s="5">
        <f>IFERROR(G9/E9,0)</f>
        <v/>
      </c>
      <c r="I9" t="inlineStr">
        <is>
          <t>Disponibile</t>
        </is>
      </c>
    </row>
    <row r="10">
      <c r="A10" t="inlineStr">
        <is>
          <t>B009</t>
        </is>
      </c>
      <c r="B10" t="inlineStr">
        <is>
          <t>ABS</t>
        </is>
      </c>
      <c r="C10" t="inlineStr">
        <is>
          <t>3ntr</t>
        </is>
      </c>
      <c r="D10" t="inlineStr">
        <is>
          <t>Rosa</t>
        </is>
      </c>
      <c r="E10" t="n">
        <v>1000</v>
      </c>
      <c r="F10" t="n">
        <v>0</v>
      </c>
      <c r="G10">
        <f>MAX(0,E10-F10)</f>
        <v/>
      </c>
      <c r="H10" s="5">
        <f>IFERROR(G10/E10,0)</f>
        <v/>
      </c>
      <c r="I10" t="inlineStr">
        <is>
          <t>Disponibile</t>
        </is>
      </c>
      <c r="K10" t="inlineStr">
        <is>
          <t>Eliminata</t>
        </is>
      </c>
    </row>
    <row r="11">
      <c r="A11" t="inlineStr">
        <is>
          <t>B010</t>
        </is>
      </c>
      <c r="B11" t="inlineStr">
        <is>
          <t>ABS</t>
        </is>
      </c>
      <c r="C11" t="inlineStr">
        <is>
          <t>3ntr</t>
        </is>
      </c>
      <c r="D11" t="inlineStr">
        <is>
          <t>Naturale</t>
        </is>
      </c>
      <c r="E11" t="n">
        <v>1000</v>
      </c>
      <c r="F11" t="n">
        <v>0</v>
      </c>
      <c r="G11">
        <f>MAX(0,E11-F11)</f>
        <v/>
      </c>
      <c r="H11" s="5">
        <f>IFERROR(G11/E11,0)</f>
        <v/>
      </c>
      <c r="I11" t="inlineStr">
        <is>
          <t>Disponibile</t>
        </is>
      </c>
      <c r="K11" t="inlineStr">
        <is>
          <t>Eliminata</t>
        </is>
      </c>
    </row>
    <row r="12">
      <c r="F12" t="n">
        <v>0</v>
      </c>
      <c r="G12">
        <f>IF(A12="","",MAX(0,E12-F12))</f>
        <v/>
      </c>
      <c r="H12" s="5">
        <f>IF(A12="","",IFERROR(G12/E12,0))</f>
        <v/>
      </c>
    </row>
    <row r="13">
      <c r="F13" t="n">
        <v>0</v>
      </c>
      <c r="G13">
        <f>IF(A13="","",MAX(0,E13-F13))</f>
        <v/>
      </c>
      <c r="H13" s="5">
        <f>IF(A13="","",IFERROR(G13/E13,0))</f>
        <v/>
      </c>
    </row>
    <row r="14">
      <c r="F14" t="n">
        <v>0</v>
      </c>
      <c r="G14">
        <f>IF(A14="","",MAX(0,E14-F14))</f>
        <v/>
      </c>
      <c r="H14" s="5">
        <f>IF(A14="","",IFERROR(G14/E14,0))</f>
        <v/>
      </c>
    </row>
    <row r="15">
      <c r="F15" t="n">
        <v>0</v>
      </c>
      <c r="G15">
        <f>IF(A15="","",MAX(0,E15-F15))</f>
        <v/>
      </c>
      <c r="H15" s="5">
        <f>IF(A15="","",IFERROR(G15/E15,0))</f>
        <v/>
      </c>
    </row>
    <row r="16">
      <c r="F16" t="n">
        <v>0</v>
      </c>
      <c r="G16">
        <f>IF(A16="","",MAX(0,E16-F16))</f>
        <v/>
      </c>
      <c r="H16" s="5">
        <f>IF(A16="","",IFERROR(G16/E16,0))</f>
        <v/>
      </c>
    </row>
    <row r="17">
      <c r="F17" t="n">
        <v>0</v>
      </c>
      <c r="G17">
        <f>IF(A17="","",MAX(0,E17-F17))</f>
        <v/>
      </c>
      <c r="H17" s="5">
        <f>IF(A17="","",IFERROR(G17/E17,0))</f>
        <v/>
      </c>
    </row>
    <row r="18">
      <c r="F18" t="n">
        <v>0</v>
      </c>
      <c r="G18">
        <f>IF(A18="","",MAX(0,E18-F18))</f>
        <v/>
      </c>
      <c r="H18" s="5">
        <f>IF(A18="","",IFERROR(G18/E18,0))</f>
        <v/>
      </c>
    </row>
    <row r="19">
      <c r="F19" t="n">
        <v>0</v>
      </c>
      <c r="G19">
        <f>IF(A19="","",MAX(0,E19-F19))</f>
        <v/>
      </c>
      <c r="H19" s="5">
        <f>IF(A19="","",IFERROR(G19/E19,0))</f>
        <v/>
      </c>
    </row>
    <row r="20">
      <c r="F20" t="n">
        <v>0</v>
      </c>
      <c r="G20">
        <f>IF(A20="","",MAX(0,E20-F20))</f>
        <v/>
      </c>
      <c r="H20" s="5">
        <f>IF(A20="","",IFERROR(G20/E20,0))</f>
        <v/>
      </c>
    </row>
    <row r="21">
      <c r="F21" t="n">
        <v>0</v>
      </c>
      <c r="G21">
        <f>IF(A21="","",MAX(0,E21-F21))</f>
        <v/>
      </c>
      <c r="H21" s="5">
        <f>IF(A21="","",IFERROR(G21/E21,0))</f>
        <v/>
      </c>
    </row>
    <row r="22">
      <c r="F22" t="n">
        <v>0</v>
      </c>
      <c r="G22">
        <f>IF(A22="","",MAX(0,E22-F22))</f>
        <v/>
      </c>
      <c r="H22" s="5">
        <f>IF(A22="","",IFERROR(G22/E22,0))</f>
        <v/>
      </c>
    </row>
    <row r="23">
      <c r="F23" t="n">
        <v>0</v>
      </c>
      <c r="G23">
        <f>IF(A23="","",MAX(0,E23-F23))</f>
        <v/>
      </c>
      <c r="H23" s="5">
        <f>IF(A23="","",IFERROR(G23/E23,0))</f>
        <v/>
      </c>
    </row>
    <row r="24">
      <c r="F24" t="n">
        <v>0</v>
      </c>
      <c r="G24">
        <f>IF(A24="","",MAX(0,E24-F24))</f>
        <v/>
      </c>
      <c r="H24" s="5">
        <f>IF(A24="","",IFERROR(G24/E24,0))</f>
        <v/>
      </c>
    </row>
    <row r="25">
      <c r="F25" t="n">
        <v>0</v>
      </c>
      <c r="G25">
        <f>IF(A25="","",MAX(0,E25-F25))</f>
        <v/>
      </c>
      <c r="H25" s="5">
        <f>IF(A25="","",IFERROR(G25/E25,0))</f>
        <v/>
      </c>
    </row>
    <row r="26">
      <c r="F26" t="n">
        <v>0</v>
      </c>
      <c r="G26">
        <f>IF(A26="","",MAX(0,E26-F26))</f>
        <v/>
      </c>
      <c r="H26" s="5">
        <f>IF(A26="","",IFERROR(G26/E26,0))</f>
        <v/>
      </c>
    </row>
    <row r="27">
      <c r="F27" t="n">
        <v>0</v>
      </c>
      <c r="G27">
        <f>IF(A27="","",MAX(0,E27-F27))</f>
        <v/>
      </c>
      <c r="H27" s="5">
        <f>IF(A27="","",IFERROR(G27/E27,0))</f>
        <v/>
      </c>
    </row>
    <row r="28">
      <c r="F28" t="n">
        <v>0</v>
      </c>
      <c r="G28">
        <f>IF(A28="","",MAX(0,E28-F28))</f>
        <v/>
      </c>
      <c r="H28" s="5">
        <f>IF(A28="","",IFERROR(G28/E28,0))</f>
        <v/>
      </c>
    </row>
    <row r="29">
      <c r="F29" t="n">
        <v>0</v>
      </c>
      <c r="G29">
        <f>IF(A29="","",MAX(0,E29-F29))</f>
        <v/>
      </c>
      <c r="H29" s="5">
        <f>IF(A29="","",IFERROR(G29/E29,0))</f>
        <v/>
      </c>
    </row>
    <row r="30">
      <c r="F30" t="n">
        <v>0</v>
      </c>
      <c r="G30">
        <f>IF(A30="","",MAX(0,E30-F30))</f>
        <v/>
      </c>
      <c r="H30" s="5">
        <f>IF(A30="","",IFERROR(G30/E30,0))</f>
        <v/>
      </c>
    </row>
    <row r="31">
      <c r="F31" t="n">
        <v>0</v>
      </c>
      <c r="G31">
        <f>IF(A31="","",MAX(0,E31-F31))</f>
        <v/>
      </c>
      <c r="H31" s="5">
        <f>IF(A31="","",IFERROR(G31/E31,0))</f>
        <v/>
      </c>
    </row>
    <row r="32">
      <c r="F32" t="n">
        <v>0</v>
      </c>
      <c r="G32">
        <f>IF(A32="","",MAX(0,E32-F32))</f>
        <v/>
      </c>
      <c r="H32" s="5">
        <f>IF(A32="","",IFERROR(G32/E32,0))</f>
        <v/>
      </c>
    </row>
    <row r="33">
      <c r="F33" t="n">
        <v>0</v>
      </c>
      <c r="G33">
        <f>IF(A33="","",MAX(0,E33-F33))</f>
        <v/>
      </c>
      <c r="H33" s="5">
        <f>IF(A33="","",IFERROR(G33/E33,0))</f>
        <v/>
      </c>
    </row>
    <row r="34">
      <c r="F34" t="n">
        <v>0</v>
      </c>
      <c r="G34">
        <f>IF(A34="","",MAX(0,E34-F34))</f>
        <v/>
      </c>
      <c r="H34" s="5">
        <f>IF(A34="","",IFERROR(G34/E34,0))</f>
        <v/>
      </c>
    </row>
    <row r="35">
      <c r="F35" t="n">
        <v>0</v>
      </c>
      <c r="G35">
        <f>IF(A35="","",MAX(0,E35-F35))</f>
        <v/>
      </c>
      <c r="H35" s="5">
        <f>IF(A35="","",IFERROR(G35/E35,0))</f>
        <v/>
      </c>
    </row>
    <row r="36">
      <c r="F36" t="n">
        <v>0</v>
      </c>
      <c r="G36">
        <f>IF(A36="","",MAX(0,E36-F36))</f>
        <v/>
      </c>
      <c r="H36" s="5">
        <f>IF(A36="","",IFERROR(G36/E36,0))</f>
        <v/>
      </c>
    </row>
    <row r="37">
      <c r="F37" t="n">
        <v>0</v>
      </c>
      <c r="G37">
        <f>IF(A37="","",MAX(0,E37-F37))</f>
        <v/>
      </c>
      <c r="H37" s="5">
        <f>IF(A37="","",IFERROR(G37/E37,0))</f>
        <v/>
      </c>
    </row>
    <row r="38">
      <c r="F38" t="n">
        <v>0</v>
      </c>
      <c r="G38">
        <f>IF(A38="","",MAX(0,E38-F38))</f>
        <v/>
      </c>
      <c r="H38" s="5">
        <f>IF(A38="","",IFERROR(G38/E38,0))</f>
        <v/>
      </c>
    </row>
    <row r="39">
      <c r="F39" t="n">
        <v>0</v>
      </c>
      <c r="G39">
        <f>IF(A39="","",MAX(0,E39-F39))</f>
        <v/>
      </c>
      <c r="H39" s="5">
        <f>IF(A39="","",IFERROR(G39/E39,0))</f>
        <v/>
      </c>
    </row>
    <row r="40">
      <c r="F40" t="n">
        <v>0</v>
      </c>
      <c r="G40">
        <f>IF(A40="","",MAX(0,E40-F40))</f>
        <v/>
      </c>
      <c r="H40" s="5">
        <f>IF(A40="","",IFERROR(G40/E40,0))</f>
        <v/>
      </c>
    </row>
    <row r="41">
      <c r="F41" t="n">
        <v>0</v>
      </c>
      <c r="G41">
        <f>IF(A41="","",MAX(0,E41-F41))</f>
        <v/>
      </c>
      <c r="H41" s="5">
        <f>IF(A41="","",IFERROR(G41/E41,0))</f>
        <v/>
      </c>
    </row>
    <row r="42">
      <c r="F42" t="n">
        <v>0</v>
      </c>
      <c r="G42">
        <f>IF(A42="","",MAX(0,E42-F42))</f>
        <v/>
      </c>
      <c r="H42" s="5">
        <f>IF(A42="","",IFERROR(G42/E42,0))</f>
        <v/>
      </c>
    </row>
    <row r="43">
      <c r="F43" t="n">
        <v>0</v>
      </c>
      <c r="G43">
        <f>IF(A43="","",MAX(0,E43-F43))</f>
        <v/>
      </c>
      <c r="H43" s="5">
        <f>IF(A43="","",IFERROR(G43/E43,0))</f>
        <v/>
      </c>
    </row>
    <row r="44">
      <c r="F44" t="n">
        <v>0</v>
      </c>
      <c r="G44">
        <f>IF(A44="","",MAX(0,E44-F44))</f>
        <v/>
      </c>
      <c r="H44" s="5">
        <f>IF(A44="","",IFERROR(G44/E44,0))</f>
        <v/>
      </c>
    </row>
    <row r="45">
      <c r="F45" t="n">
        <v>0</v>
      </c>
      <c r="G45">
        <f>IF(A45="","",MAX(0,E45-F45))</f>
        <v/>
      </c>
      <c r="H45" s="5">
        <f>IF(A45="","",IFERROR(G45/E45,0))</f>
        <v/>
      </c>
    </row>
    <row r="46">
      <c r="F46" t="n">
        <v>0</v>
      </c>
      <c r="G46">
        <f>IF(A46="","",MAX(0,E46-F46))</f>
        <v/>
      </c>
      <c r="H46" s="5">
        <f>IF(A46="","",IFERROR(G46/E46,0))</f>
        <v/>
      </c>
    </row>
    <row r="47">
      <c r="F47" t="n">
        <v>0</v>
      </c>
      <c r="G47">
        <f>IF(A47="","",MAX(0,E47-F47))</f>
        <v/>
      </c>
      <c r="H47" s="5">
        <f>IF(A47="","",IFERROR(G47/E47,0))</f>
        <v/>
      </c>
    </row>
    <row r="48">
      <c r="F48" t="n">
        <v>0</v>
      </c>
      <c r="G48">
        <f>IF(A48="","",MAX(0,E48-F48))</f>
        <v/>
      </c>
      <c r="H48" s="5">
        <f>IF(A48="","",IFERROR(G48/E48,0))</f>
        <v/>
      </c>
    </row>
    <row r="49">
      <c r="F49" t="n">
        <v>0</v>
      </c>
      <c r="G49">
        <f>IF(A49="","",MAX(0,E49-F49))</f>
        <v/>
      </c>
      <c r="H49" s="5">
        <f>IF(A49="","",IFERROR(G49/E49,0))</f>
        <v/>
      </c>
    </row>
    <row r="50">
      <c r="F50" t="n">
        <v>0</v>
      </c>
      <c r="G50">
        <f>IF(A50="","",MAX(0,E50-F50))</f>
        <v/>
      </c>
      <c r="H50" s="5">
        <f>IF(A50="","",IFERROR(G50/E50,0))</f>
        <v/>
      </c>
    </row>
    <row r="51">
      <c r="F51" t="n">
        <v>0</v>
      </c>
      <c r="G51">
        <f>IF(A51="","",MAX(0,E51-F51))</f>
        <v/>
      </c>
      <c r="H51" s="5">
        <f>IF(A51="","",IFERROR(G51/E51,0))</f>
        <v/>
      </c>
    </row>
    <row r="52">
      <c r="F52" t="n">
        <v>0</v>
      </c>
      <c r="G52">
        <f>IF(A52="","",MAX(0,E52-F52))</f>
        <v/>
      </c>
      <c r="H52" s="5">
        <f>IF(A52="","",IFERROR(G52/E52,0))</f>
        <v/>
      </c>
    </row>
    <row r="53">
      <c r="F53" t="n">
        <v>0</v>
      </c>
      <c r="G53">
        <f>IF(A53="","",MAX(0,E53-F53))</f>
        <v/>
      </c>
      <c r="H53" s="5">
        <f>IF(A53="","",IFERROR(G53/E53,0))</f>
        <v/>
      </c>
    </row>
    <row r="54">
      <c r="F54" t="n">
        <v>0</v>
      </c>
      <c r="G54">
        <f>IF(A54="","",MAX(0,E54-F54))</f>
        <v/>
      </c>
      <c r="H54" s="5">
        <f>IF(A54="","",IFERROR(G54/E54,0))</f>
        <v/>
      </c>
    </row>
    <row r="55">
      <c r="F55" t="n">
        <v>0</v>
      </c>
      <c r="G55">
        <f>IF(A55="","",MAX(0,E55-F55))</f>
        <v/>
      </c>
      <c r="H55" s="5">
        <f>IF(A55="","",IFERROR(G55/E55,0))</f>
        <v/>
      </c>
    </row>
    <row r="56">
      <c r="F56" t="n">
        <v>0</v>
      </c>
      <c r="G56">
        <f>IF(A56="","",MAX(0,E56-F56))</f>
        <v/>
      </c>
      <c r="H56" s="5">
        <f>IF(A56="","",IFERROR(G56/E56,0))</f>
        <v/>
      </c>
    </row>
    <row r="57">
      <c r="F57" t="n">
        <v>0</v>
      </c>
      <c r="G57">
        <f>IF(A57="","",MAX(0,E57-F57))</f>
        <v/>
      </c>
      <c r="H57" s="5">
        <f>IF(A57="","",IFERROR(G57/E57,0))</f>
        <v/>
      </c>
    </row>
    <row r="58">
      <c r="F58" t="n">
        <v>0</v>
      </c>
      <c r="G58">
        <f>IF(A58="","",MAX(0,E58-F58))</f>
        <v/>
      </c>
      <c r="H58" s="5">
        <f>IF(A58="","",IFERROR(G58/E58,0))</f>
        <v/>
      </c>
    </row>
    <row r="59">
      <c r="F59" t="n">
        <v>0</v>
      </c>
      <c r="G59">
        <f>IF(A59="","",MAX(0,E59-F59))</f>
        <v/>
      </c>
      <c r="H59" s="5">
        <f>IF(A59="","",IFERROR(G59/E59,0))</f>
        <v/>
      </c>
    </row>
    <row r="60">
      <c r="F60" t="n">
        <v>0</v>
      </c>
      <c r="G60">
        <f>IF(A60="","",MAX(0,E60-F60))</f>
        <v/>
      </c>
      <c r="H60" s="5">
        <f>IF(A60="","",IFERROR(G60/E60,0))</f>
        <v/>
      </c>
    </row>
    <row r="61">
      <c r="F61" t="n">
        <v>0</v>
      </c>
      <c r="G61">
        <f>IF(A61="","",MAX(0,E61-F61))</f>
        <v/>
      </c>
      <c r="H61" s="5">
        <f>IF(A61="","",IFERROR(G61/E61,0))</f>
        <v/>
      </c>
    </row>
    <row r="62">
      <c r="F62" t="n">
        <v>0</v>
      </c>
      <c r="G62">
        <f>IF(A62="","",MAX(0,E62-F62))</f>
        <v/>
      </c>
      <c r="H62" s="5">
        <f>IF(A62="","",IFERROR(G62/E62,0))</f>
        <v/>
      </c>
    </row>
    <row r="63">
      <c r="F63" t="n">
        <v>0</v>
      </c>
      <c r="G63">
        <f>IF(A63="","",MAX(0,E63-F63))</f>
        <v/>
      </c>
      <c r="H63" s="5">
        <f>IF(A63="","",IFERROR(G63/E63,0))</f>
        <v/>
      </c>
    </row>
    <row r="64">
      <c r="F64" t="n">
        <v>0</v>
      </c>
      <c r="G64">
        <f>IF(A64="","",MAX(0,E64-F64))</f>
        <v/>
      </c>
      <c r="H64" s="5">
        <f>IF(A64="","",IFERROR(G64/E64,0))</f>
        <v/>
      </c>
    </row>
    <row r="65">
      <c r="F65" t="n">
        <v>0</v>
      </c>
      <c r="G65">
        <f>IF(A65="","",MAX(0,E65-F65))</f>
        <v/>
      </c>
      <c r="H65" s="5">
        <f>IF(A65="","",IFERROR(G65/E65,0))</f>
        <v/>
      </c>
    </row>
    <row r="66">
      <c r="F66" t="n">
        <v>0</v>
      </c>
      <c r="G66">
        <f>IF(A66="","",MAX(0,E66-F66))</f>
        <v/>
      </c>
      <c r="H66" s="5">
        <f>IF(A66="","",IFERROR(G66/E66,0))</f>
        <v/>
      </c>
    </row>
    <row r="67">
      <c r="F67" t="n">
        <v>0</v>
      </c>
      <c r="G67">
        <f>IF(A67="","",MAX(0,E67-F67))</f>
        <v/>
      </c>
      <c r="H67" s="5">
        <f>IF(A67="","",IFERROR(G67/E67,0))</f>
        <v/>
      </c>
    </row>
    <row r="68">
      <c r="F68" t="n">
        <v>0</v>
      </c>
      <c r="G68">
        <f>IF(A68="","",MAX(0,E68-F68))</f>
        <v/>
      </c>
      <c r="H68" s="5">
        <f>IF(A68="","",IFERROR(G68/E68,0))</f>
        <v/>
      </c>
    </row>
    <row r="69">
      <c r="F69" t="n">
        <v>0</v>
      </c>
      <c r="G69">
        <f>IF(A69="","",MAX(0,E69-F69))</f>
        <v/>
      </c>
      <c r="H69" s="5">
        <f>IF(A69="","",IFERROR(G69/E69,0))</f>
        <v/>
      </c>
    </row>
    <row r="70">
      <c r="F70" t="n">
        <v>0</v>
      </c>
      <c r="G70">
        <f>IF(A70="","",MAX(0,E70-F70))</f>
        <v/>
      </c>
      <c r="H70" s="5">
        <f>IF(A70="","",IFERROR(G70/E70,0))</f>
        <v/>
      </c>
    </row>
    <row r="71">
      <c r="F71" t="n">
        <v>0</v>
      </c>
      <c r="G71">
        <f>IF(A71="","",MAX(0,E71-F71))</f>
        <v/>
      </c>
      <c r="H71" s="5">
        <f>IF(A71="","",IFERROR(G71/E71,0))</f>
        <v/>
      </c>
    </row>
    <row r="72">
      <c r="F72" t="n">
        <v>0</v>
      </c>
      <c r="G72">
        <f>IF(A72="","",MAX(0,E72-F72))</f>
        <v/>
      </c>
      <c r="H72" s="5">
        <f>IF(A72="","",IFERROR(G72/E72,0))</f>
        <v/>
      </c>
    </row>
    <row r="73">
      <c r="F73" t="n">
        <v>0</v>
      </c>
      <c r="G73">
        <f>IF(A73="","",MAX(0,E73-F73))</f>
        <v/>
      </c>
      <c r="H73" s="5">
        <f>IF(A73="","",IFERROR(G73/E73,0))</f>
        <v/>
      </c>
    </row>
    <row r="74">
      <c r="F74" t="n">
        <v>0</v>
      </c>
      <c r="G74">
        <f>IF(A74="","",MAX(0,E74-F74))</f>
        <v/>
      </c>
      <c r="H74" s="5">
        <f>IF(A74="","",IFERROR(G74/E74,0))</f>
        <v/>
      </c>
    </row>
    <row r="75">
      <c r="F75" t="n">
        <v>0</v>
      </c>
      <c r="G75">
        <f>IF(A75="","",MAX(0,E75-F75))</f>
        <v/>
      </c>
      <c r="H75" s="5">
        <f>IF(A75="","",IFERROR(G75/E75,0))</f>
        <v/>
      </c>
    </row>
    <row r="76">
      <c r="F76" t="n">
        <v>0</v>
      </c>
      <c r="G76">
        <f>IF(A76="","",MAX(0,E76-F76))</f>
        <v/>
      </c>
      <c r="H76" s="5">
        <f>IF(A76="","",IFERROR(G76/E76,0))</f>
        <v/>
      </c>
    </row>
    <row r="77">
      <c r="F77" t="n">
        <v>0</v>
      </c>
      <c r="G77">
        <f>IF(A77="","",MAX(0,E77-F77))</f>
        <v/>
      </c>
      <c r="H77" s="5">
        <f>IF(A77="","",IFERROR(G77/E77,0))</f>
        <v/>
      </c>
    </row>
    <row r="78">
      <c r="F78" t="n">
        <v>0</v>
      </c>
      <c r="G78">
        <f>IF(A78="","",MAX(0,E78-F78))</f>
        <v/>
      </c>
      <c r="H78" s="5">
        <f>IF(A78="","",IFERROR(G78/E78,0))</f>
        <v/>
      </c>
    </row>
    <row r="79">
      <c r="F79" t="n">
        <v>0</v>
      </c>
      <c r="G79">
        <f>IF(A79="","",MAX(0,E79-F79))</f>
        <v/>
      </c>
      <c r="H79" s="5">
        <f>IF(A79="","",IFERROR(G79/E79,0))</f>
        <v/>
      </c>
    </row>
    <row r="80">
      <c r="F80" t="n">
        <v>0</v>
      </c>
      <c r="G80">
        <f>IF(A80="","",MAX(0,E80-F80))</f>
        <v/>
      </c>
      <c r="H80" s="5">
        <f>IF(A80="","",IFERROR(G80/E80,0))</f>
        <v/>
      </c>
    </row>
    <row r="81">
      <c r="F81" t="n">
        <v>0</v>
      </c>
      <c r="G81">
        <f>IF(A81="","",MAX(0,E81-F81))</f>
        <v/>
      </c>
      <c r="H81" s="5">
        <f>IF(A81="","",IFERROR(G81/E81,0))</f>
        <v/>
      </c>
    </row>
    <row r="82">
      <c r="F82" t="n">
        <v>0</v>
      </c>
      <c r="G82">
        <f>IF(A82="","",MAX(0,E82-F82))</f>
        <v/>
      </c>
      <c r="H82" s="5">
        <f>IF(A82="","",IFERROR(G82/E82,0))</f>
        <v/>
      </c>
    </row>
    <row r="83">
      <c r="F83" t="n">
        <v>0</v>
      </c>
      <c r="G83">
        <f>IF(A83="","",MAX(0,E83-F83))</f>
        <v/>
      </c>
      <c r="H83" s="5">
        <f>IF(A83="","",IFERROR(G83/E83,0))</f>
        <v/>
      </c>
    </row>
    <row r="84">
      <c r="F84" t="n">
        <v>0</v>
      </c>
      <c r="G84">
        <f>IF(A84="","",MAX(0,E84-F84))</f>
        <v/>
      </c>
      <c r="H84" s="5">
        <f>IF(A84="","",IFERROR(G84/E84,0))</f>
        <v/>
      </c>
    </row>
    <row r="85">
      <c r="F85" t="n">
        <v>0</v>
      </c>
      <c r="G85">
        <f>IF(A85="","",MAX(0,E85-F85))</f>
        <v/>
      </c>
      <c r="H85" s="5">
        <f>IF(A85="","",IFERROR(G85/E85,0))</f>
        <v/>
      </c>
    </row>
    <row r="86">
      <c r="F86" t="n">
        <v>0</v>
      </c>
      <c r="G86">
        <f>IF(A86="","",MAX(0,E86-F86))</f>
        <v/>
      </c>
      <c r="H86" s="5">
        <f>IF(A86="","",IFERROR(G86/E86,0))</f>
        <v/>
      </c>
    </row>
    <row r="87">
      <c r="F87" t="n">
        <v>0</v>
      </c>
      <c r="G87">
        <f>IF(A87="","",MAX(0,E87-F87))</f>
        <v/>
      </c>
      <c r="H87" s="5">
        <f>IF(A87="","",IFERROR(G87/E87,0))</f>
        <v/>
      </c>
    </row>
    <row r="88">
      <c r="F88" t="n">
        <v>0</v>
      </c>
      <c r="G88">
        <f>IF(A88="","",MAX(0,E88-F88))</f>
        <v/>
      </c>
      <c r="H88" s="5">
        <f>IF(A88="","",IFERROR(G88/E88,0))</f>
        <v/>
      </c>
    </row>
    <row r="89">
      <c r="F89" t="n">
        <v>0</v>
      </c>
      <c r="G89">
        <f>IF(A89="","",MAX(0,E89-F89))</f>
        <v/>
      </c>
      <c r="H89" s="5">
        <f>IF(A89="","",IFERROR(G89/E89,0))</f>
        <v/>
      </c>
    </row>
    <row r="90">
      <c r="F90" t="n">
        <v>0</v>
      </c>
      <c r="G90">
        <f>IF(A90="","",MAX(0,E90-F90))</f>
        <v/>
      </c>
      <c r="H90" s="5">
        <f>IF(A90="","",IFERROR(G90/E90,0))</f>
        <v/>
      </c>
    </row>
    <row r="91">
      <c r="F91" t="n">
        <v>0</v>
      </c>
      <c r="G91">
        <f>IF(A91="","",MAX(0,E91-F91))</f>
        <v/>
      </c>
      <c r="H91" s="5">
        <f>IF(A91="","",IFERROR(G91/E91,0))</f>
        <v/>
      </c>
    </row>
    <row r="92">
      <c r="F92" t="n">
        <v>0</v>
      </c>
      <c r="G92">
        <f>IF(A92="","",MAX(0,E92-F92))</f>
        <v/>
      </c>
      <c r="H92" s="5">
        <f>IF(A92="","",IFERROR(G92/E92,0))</f>
        <v/>
      </c>
    </row>
    <row r="93">
      <c r="F93" t="n">
        <v>0</v>
      </c>
      <c r="G93">
        <f>IF(A93="","",MAX(0,E93-F93))</f>
        <v/>
      </c>
      <c r="H93" s="5">
        <f>IF(A93="","",IFERROR(G93/E93,0))</f>
        <v/>
      </c>
    </row>
    <row r="94">
      <c r="F94" t="n">
        <v>0</v>
      </c>
      <c r="G94">
        <f>IF(A94="","",MAX(0,E94-F94))</f>
        <v/>
      </c>
      <c r="H94" s="5">
        <f>IF(A94="","",IFERROR(G94/E94,0))</f>
        <v/>
      </c>
    </row>
    <row r="95">
      <c r="F95" t="n">
        <v>0</v>
      </c>
      <c r="G95">
        <f>IF(A95="","",MAX(0,E95-F95))</f>
        <v/>
      </c>
      <c r="H95" s="5">
        <f>IF(A95="","",IFERROR(G95/E95,0))</f>
        <v/>
      </c>
    </row>
    <row r="96">
      <c r="F96" t="n">
        <v>0</v>
      </c>
      <c r="G96">
        <f>IF(A96="","",MAX(0,E96-F96))</f>
        <v/>
      </c>
      <c r="H96" s="5">
        <f>IF(A96="","",IFERROR(G96/E96,0))</f>
        <v/>
      </c>
    </row>
    <row r="97">
      <c r="F97" t="n">
        <v>0</v>
      </c>
      <c r="G97">
        <f>IF(A97="","",MAX(0,E97-F97))</f>
        <v/>
      </c>
      <c r="H97" s="5">
        <f>IF(A97="","",IFERROR(G97/E97,0))</f>
        <v/>
      </c>
    </row>
    <row r="98">
      <c r="F98" t="n">
        <v>0</v>
      </c>
      <c r="G98">
        <f>IF(A98="","",MAX(0,E98-F98))</f>
        <v/>
      </c>
      <c r="H98" s="5">
        <f>IF(A98="","",IFERROR(G98/E98,0))</f>
        <v/>
      </c>
    </row>
    <row r="99">
      <c r="F99" t="n">
        <v>0</v>
      </c>
      <c r="G99">
        <f>IF(A99="","",MAX(0,E99-F99))</f>
        <v/>
      </c>
      <c r="H99" s="5">
        <f>IF(A99="","",IFERROR(G99/E99,0))</f>
        <v/>
      </c>
    </row>
    <row r="100">
      <c r="F100" t="n">
        <v>0</v>
      </c>
      <c r="G100">
        <f>IF(A100="","",MAX(0,E100-F100))</f>
        <v/>
      </c>
      <c r="H100" s="5">
        <f>IF(A100="","",IFERROR(G100/E100,0))</f>
        <v/>
      </c>
    </row>
    <row r="101">
      <c r="F101" t="n">
        <v>0</v>
      </c>
      <c r="G101">
        <f>IF(A101="","",MAX(0,E101-F101))</f>
        <v/>
      </c>
      <c r="H101" s="5">
        <f>IF(A101="","",IFERROR(G101/E101,0))</f>
        <v/>
      </c>
    </row>
    <row r="102">
      <c r="F102" t="n">
        <v>0</v>
      </c>
      <c r="G102">
        <f>IF(A102="","",MAX(0,E102-F102))</f>
        <v/>
      </c>
      <c r="H102" s="5">
        <f>IF(A102="","",IFERROR(G102/E102,0))</f>
        <v/>
      </c>
    </row>
    <row r="103">
      <c r="F103" t="n">
        <v>0</v>
      </c>
      <c r="G103">
        <f>IF(A103="","",MAX(0,E103-F103))</f>
        <v/>
      </c>
      <c r="H103" s="5">
        <f>IF(A103="","",IFERROR(G103/E103,0))</f>
        <v/>
      </c>
    </row>
    <row r="104">
      <c r="F104" t="n">
        <v>0</v>
      </c>
      <c r="G104">
        <f>IF(A104="","",MAX(0,E104-F104))</f>
        <v/>
      </c>
      <c r="H104" s="5">
        <f>IF(A104="","",IFERROR(G104/E104,0))</f>
        <v/>
      </c>
    </row>
    <row r="105">
      <c r="F105" t="n">
        <v>0</v>
      </c>
      <c r="G105">
        <f>IF(A105="","",MAX(0,E105-F105))</f>
        <v/>
      </c>
      <c r="H105" s="5">
        <f>IF(A105="","",IFERROR(G105/E105,0))</f>
        <v/>
      </c>
    </row>
    <row r="106">
      <c r="F106" t="n">
        <v>0</v>
      </c>
      <c r="G106">
        <f>IF(A106="","",MAX(0,E106-F106))</f>
        <v/>
      </c>
      <c r="H106" s="5">
        <f>IF(A106="","",IFERROR(G106/E106,0))</f>
        <v/>
      </c>
    </row>
    <row r="107">
      <c r="F107" t="n">
        <v>0</v>
      </c>
      <c r="G107">
        <f>IF(A107="","",MAX(0,E107-F107))</f>
        <v/>
      </c>
      <c r="H107" s="5">
        <f>IF(A107="","",IFERROR(G107/E107,0))</f>
        <v/>
      </c>
    </row>
    <row r="108">
      <c r="F108" t="n">
        <v>0</v>
      </c>
      <c r="G108">
        <f>IF(A108="","",MAX(0,E108-F108))</f>
        <v/>
      </c>
      <c r="H108" s="5">
        <f>IF(A108="","",IFERROR(G108/E108,0))</f>
        <v/>
      </c>
    </row>
    <row r="109">
      <c r="F109" t="n">
        <v>0</v>
      </c>
      <c r="G109">
        <f>IF(A109="","",MAX(0,E109-F109))</f>
        <v/>
      </c>
      <c r="H109" s="5">
        <f>IF(A109="","",IFERROR(G109/E109,0))</f>
        <v/>
      </c>
    </row>
    <row r="110">
      <c r="F110" t="n">
        <v>0</v>
      </c>
      <c r="G110">
        <f>IF(A110="","",MAX(0,E110-F110))</f>
        <v/>
      </c>
      <c r="H110" s="5">
        <f>IF(A110="","",IFERROR(G110/E110,0))</f>
        <v/>
      </c>
    </row>
    <row r="111">
      <c r="F111" t="n">
        <v>0</v>
      </c>
      <c r="G111">
        <f>IF(A111="","",MAX(0,E111-F111))</f>
        <v/>
      </c>
      <c r="H111" s="5">
        <f>IF(A111="","",IFERROR(G111/E111,0))</f>
        <v/>
      </c>
    </row>
    <row r="112">
      <c r="F112" t="n">
        <v>0</v>
      </c>
      <c r="G112">
        <f>IF(A112="","",MAX(0,E112-F112))</f>
        <v/>
      </c>
      <c r="H112" s="5">
        <f>IF(A112="","",IFERROR(G112/E112,0))</f>
        <v/>
      </c>
    </row>
    <row r="113">
      <c r="F113" t="n">
        <v>0</v>
      </c>
      <c r="G113">
        <f>IF(A113="","",MAX(0,E113-F113))</f>
        <v/>
      </c>
      <c r="H113" s="5">
        <f>IF(A113="","",IFERROR(G113/E113,0))</f>
        <v/>
      </c>
    </row>
    <row r="114">
      <c r="F114" t="n">
        <v>0</v>
      </c>
      <c r="G114">
        <f>IF(A114="","",MAX(0,E114-F114))</f>
        <v/>
      </c>
      <c r="H114" s="5">
        <f>IF(A114="","",IFERROR(G114/E114,0))</f>
        <v/>
      </c>
    </row>
    <row r="115">
      <c r="F115" t="n">
        <v>0</v>
      </c>
      <c r="G115">
        <f>IF(A115="","",MAX(0,E115-F115))</f>
        <v/>
      </c>
      <c r="H115" s="5">
        <f>IF(A115="","",IFERROR(G115/E115,0))</f>
        <v/>
      </c>
    </row>
    <row r="116">
      <c r="F116" t="n">
        <v>0</v>
      </c>
      <c r="G116">
        <f>IF(A116="","",MAX(0,E116-F116))</f>
        <v/>
      </c>
      <c r="H116" s="5">
        <f>IF(A116="","",IFERROR(G116/E116,0))</f>
        <v/>
      </c>
    </row>
    <row r="117">
      <c r="F117" t="n">
        <v>0</v>
      </c>
      <c r="G117">
        <f>IF(A117="","",MAX(0,E117-F117))</f>
        <v/>
      </c>
      <c r="H117" s="5">
        <f>IF(A117="","",IFERROR(G117/E117,0))</f>
        <v/>
      </c>
    </row>
    <row r="118">
      <c r="F118" t="n">
        <v>0</v>
      </c>
      <c r="G118">
        <f>IF(A118="","",MAX(0,E118-F118))</f>
        <v/>
      </c>
      <c r="H118" s="5">
        <f>IF(A118="","",IFERROR(G118/E118,0))</f>
        <v/>
      </c>
    </row>
    <row r="119">
      <c r="F119" t="n">
        <v>0</v>
      </c>
      <c r="G119">
        <f>IF(A119="","",MAX(0,E119-F119))</f>
        <v/>
      </c>
      <c r="H119" s="5">
        <f>IF(A119="","",IFERROR(G119/E119,0))</f>
        <v/>
      </c>
    </row>
    <row r="120">
      <c r="F120" t="n">
        <v>0</v>
      </c>
      <c r="G120">
        <f>IF(A120="","",MAX(0,E120-F120))</f>
        <v/>
      </c>
      <c r="H120" s="5">
        <f>IF(A120="","",IFERROR(G120/E120,0))</f>
        <v/>
      </c>
    </row>
    <row r="121">
      <c r="F121" t="n">
        <v>0</v>
      </c>
      <c r="G121">
        <f>IF(A121="","",MAX(0,E121-F121))</f>
        <v/>
      </c>
      <c r="H121" s="5">
        <f>IF(A121="","",IFERROR(G121/E121,0))</f>
        <v/>
      </c>
    </row>
    <row r="122">
      <c r="F122" t="n">
        <v>0</v>
      </c>
      <c r="G122">
        <f>IF(A122="","",MAX(0,E122-F122))</f>
        <v/>
      </c>
      <c r="H122" s="5">
        <f>IF(A122="","",IFERROR(G122/E122,0))</f>
        <v/>
      </c>
    </row>
    <row r="123">
      <c r="F123" t="n">
        <v>0</v>
      </c>
      <c r="G123">
        <f>IF(A123="","",MAX(0,E123-F123))</f>
        <v/>
      </c>
      <c r="H123" s="5">
        <f>IF(A123="","",IFERROR(G123/E123,0))</f>
        <v/>
      </c>
    </row>
    <row r="124">
      <c r="F124" t="n">
        <v>0</v>
      </c>
      <c r="G124">
        <f>IF(A124="","",MAX(0,E124-F124))</f>
        <v/>
      </c>
      <c r="H124" s="5">
        <f>IF(A124="","",IFERROR(G124/E124,0))</f>
        <v/>
      </c>
    </row>
    <row r="125">
      <c r="F125" t="n">
        <v>0</v>
      </c>
      <c r="G125">
        <f>IF(A125="","",MAX(0,E125-F125))</f>
        <v/>
      </c>
      <c r="H125" s="5">
        <f>IF(A125="","",IFERROR(G125/E125,0))</f>
        <v/>
      </c>
    </row>
    <row r="126">
      <c r="F126" t="n">
        <v>0</v>
      </c>
      <c r="G126">
        <f>IF(A126="","",MAX(0,E126-F126))</f>
        <v/>
      </c>
      <c r="H126" s="5">
        <f>IF(A126="","",IFERROR(G126/E126,0))</f>
        <v/>
      </c>
    </row>
    <row r="127">
      <c r="F127" t="n">
        <v>0</v>
      </c>
      <c r="G127">
        <f>IF(A127="","",MAX(0,E127-F127))</f>
        <v/>
      </c>
      <c r="H127" s="5">
        <f>IF(A127="","",IFERROR(G127/E127,0))</f>
        <v/>
      </c>
    </row>
    <row r="128">
      <c r="F128" t="n">
        <v>0</v>
      </c>
      <c r="G128">
        <f>IF(A128="","",MAX(0,E128-F128))</f>
        <v/>
      </c>
      <c r="H128" s="5">
        <f>IF(A128="","",IFERROR(G128/E128,0))</f>
        <v/>
      </c>
    </row>
    <row r="129">
      <c r="F129" t="n">
        <v>0</v>
      </c>
      <c r="G129">
        <f>IF(A129="","",MAX(0,E129-F129))</f>
        <v/>
      </c>
      <c r="H129" s="5">
        <f>IF(A129="","",IFERROR(G129/E129,0))</f>
        <v/>
      </c>
    </row>
    <row r="130">
      <c r="F130" t="n">
        <v>0</v>
      </c>
      <c r="G130">
        <f>IF(A130="","",MAX(0,E130-F130))</f>
        <v/>
      </c>
      <c r="H130" s="5">
        <f>IF(A130="","",IFERROR(G130/E130,0))</f>
        <v/>
      </c>
    </row>
    <row r="131">
      <c r="F131" t="n">
        <v>0</v>
      </c>
      <c r="G131">
        <f>IF(A131="","",MAX(0,E131-F131))</f>
        <v/>
      </c>
      <c r="H131" s="5">
        <f>IF(A131="","",IFERROR(G131/E131,0))</f>
        <v/>
      </c>
    </row>
    <row r="132">
      <c r="F132" t="n">
        <v>0</v>
      </c>
      <c r="G132">
        <f>IF(A132="","",MAX(0,E132-F132))</f>
        <v/>
      </c>
      <c r="H132" s="5">
        <f>IF(A132="","",IFERROR(G132/E132,0))</f>
        <v/>
      </c>
    </row>
    <row r="133">
      <c r="F133" t="n">
        <v>0</v>
      </c>
      <c r="G133">
        <f>IF(A133="","",MAX(0,E133-F133))</f>
        <v/>
      </c>
      <c r="H133" s="5">
        <f>IF(A133="","",IFERROR(G133/E133,0))</f>
        <v/>
      </c>
    </row>
    <row r="134">
      <c r="F134" t="n">
        <v>0</v>
      </c>
      <c r="G134">
        <f>IF(A134="","",MAX(0,E134-F134))</f>
        <v/>
      </c>
      <c r="H134" s="5">
        <f>IF(A134="","",IFERROR(G134/E134,0))</f>
        <v/>
      </c>
    </row>
    <row r="135">
      <c r="F135" t="n">
        <v>0</v>
      </c>
      <c r="G135">
        <f>IF(A135="","",MAX(0,E135-F135))</f>
        <v/>
      </c>
      <c r="H135" s="5">
        <f>IF(A135="","",IFERROR(G135/E135,0))</f>
        <v/>
      </c>
    </row>
    <row r="136">
      <c r="F136" t="n">
        <v>0</v>
      </c>
      <c r="G136">
        <f>IF(A136="","",MAX(0,E136-F136))</f>
        <v/>
      </c>
      <c r="H136" s="5">
        <f>IF(A136="","",IFERROR(G136/E136,0))</f>
        <v/>
      </c>
    </row>
    <row r="137">
      <c r="F137" t="n">
        <v>0</v>
      </c>
      <c r="G137">
        <f>IF(A137="","",MAX(0,E137-F137))</f>
        <v/>
      </c>
      <c r="H137" s="5">
        <f>IF(A137="","",IFERROR(G137/E137,0))</f>
        <v/>
      </c>
    </row>
    <row r="138">
      <c r="F138" t="n">
        <v>0</v>
      </c>
      <c r="G138">
        <f>IF(A138="","",MAX(0,E138-F138))</f>
        <v/>
      </c>
      <c r="H138" s="5">
        <f>IF(A138="","",IFERROR(G138/E138,0))</f>
        <v/>
      </c>
    </row>
    <row r="139">
      <c r="F139" t="n">
        <v>0</v>
      </c>
      <c r="G139">
        <f>IF(A139="","",MAX(0,E139-F139))</f>
        <v/>
      </c>
      <c r="H139" s="5">
        <f>IF(A139="","",IFERROR(G139/E139,0))</f>
        <v/>
      </c>
    </row>
    <row r="140">
      <c r="F140" t="n">
        <v>0</v>
      </c>
      <c r="G140">
        <f>IF(A140="","",MAX(0,E140-F140))</f>
        <v/>
      </c>
      <c r="H140" s="5">
        <f>IF(A140="","",IFERROR(G140/E140,0))</f>
        <v/>
      </c>
    </row>
    <row r="141">
      <c r="F141" t="n">
        <v>0</v>
      </c>
      <c r="G141">
        <f>IF(A141="","",MAX(0,E141-F141))</f>
        <v/>
      </c>
      <c r="H141" s="5">
        <f>IF(A141="","",IFERROR(G141/E141,0))</f>
        <v/>
      </c>
    </row>
    <row r="142">
      <c r="F142" t="n">
        <v>0</v>
      </c>
      <c r="G142">
        <f>IF(A142="","",MAX(0,E142-F142))</f>
        <v/>
      </c>
      <c r="H142" s="5">
        <f>IF(A142="","",IFERROR(G142/E142,0))</f>
        <v/>
      </c>
    </row>
    <row r="143">
      <c r="F143" t="n">
        <v>0</v>
      </c>
      <c r="G143">
        <f>IF(A143="","",MAX(0,E143-F143))</f>
        <v/>
      </c>
      <c r="H143" s="5">
        <f>IF(A143="","",IFERROR(G143/E143,0))</f>
        <v/>
      </c>
    </row>
    <row r="144">
      <c r="F144" t="n">
        <v>0</v>
      </c>
      <c r="G144">
        <f>IF(A144="","",MAX(0,E144-F144))</f>
        <v/>
      </c>
      <c r="H144" s="5">
        <f>IF(A144="","",IFERROR(G144/E144,0))</f>
        <v/>
      </c>
    </row>
    <row r="145">
      <c r="F145" t="n">
        <v>0</v>
      </c>
      <c r="G145">
        <f>IF(A145="","",MAX(0,E145-F145))</f>
        <v/>
      </c>
      <c r="H145" s="5">
        <f>IF(A145="","",IFERROR(G145/E145,0))</f>
        <v/>
      </c>
    </row>
    <row r="146">
      <c r="F146" t="n">
        <v>0</v>
      </c>
      <c r="G146">
        <f>IF(A146="","",MAX(0,E146-F146))</f>
        <v/>
      </c>
      <c r="H146" s="5">
        <f>IF(A146="","",IFERROR(G146/E146,0))</f>
        <v/>
      </c>
    </row>
    <row r="147">
      <c r="F147" t="n">
        <v>0</v>
      </c>
      <c r="G147">
        <f>IF(A147="","",MAX(0,E147-F147))</f>
        <v/>
      </c>
      <c r="H147" s="5">
        <f>IF(A147="","",IFERROR(G147/E147,0))</f>
        <v/>
      </c>
    </row>
    <row r="148">
      <c r="F148" t="n">
        <v>0</v>
      </c>
      <c r="G148">
        <f>IF(A148="","",MAX(0,E148-F148))</f>
        <v/>
      </c>
      <c r="H148" s="5">
        <f>IF(A148="","",IFERROR(G148/E148,0))</f>
        <v/>
      </c>
    </row>
    <row r="149">
      <c r="F149" t="n">
        <v>0</v>
      </c>
      <c r="G149">
        <f>IF(A149="","",MAX(0,E149-F149))</f>
        <v/>
      </c>
      <c r="H149" s="5">
        <f>IF(A149="","",IFERROR(G149/E149,0))</f>
        <v/>
      </c>
    </row>
    <row r="150">
      <c r="F150" t="n">
        <v>0</v>
      </c>
      <c r="G150">
        <f>IF(A150="","",MAX(0,E150-F150))</f>
        <v/>
      </c>
      <c r="H150" s="5">
        <f>IF(A150="","",IFERROR(G150/E150,0))</f>
        <v/>
      </c>
    </row>
    <row r="151">
      <c r="F151" t="n">
        <v>0</v>
      </c>
      <c r="G151">
        <f>IF(A151="","",MAX(0,E151-F151))</f>
        <v/>
      </c>
      <c r="H151" s="5">
        <f>IF(A151="","",IFERROR(G151/E151,0))</f>
        <v/>
      </c>
    </row>
    <row r="152">
      <c r="F152" t="n">
        <v>0</v>
      </c>
      <c r="G152">
        <f>IF(A152="","",MAX(0,E152-F152))</f>
        <v/>
      </c>
      <c r="H152" s="5">
        <f>IF(A152="","",IFERROR(G152/E152,0))</f>
        <v/>
      </c>
    </row>
    <row r="153">
      <c r="F153" t="n">
        <v>0</v>
      </c>
      <c r="G153">
        <f>IF(A153="","",MAX(0,E153-F153))</f>
        <v/>
      </c>
      <c r="H153" s="5">
        <f>IF(A153="","",IFERROR(G153/E153,0))</f>
        <v/>
      </c>
    </row>
    <row r="154">
      <c r="F154" t="n">
        <v>0</v>
      </c>
      <c r="G154">
        <f>IF(A154="","",MAX(0,E154-F154))</f>
        <v/>
      </c>
      <c r="H154" s="5">
        <f>IF(A154="","",IFERROR(G154/E154,0))</f>
        <v/>
      </c>
    </row>
    <row r="155">
      <c r="F155" t="n">
        <v>0</v>
      </c>
      <c r="G155">
        <f>IF(A155="","",MAX(0,E155-F155))</f>
        <v/>
      </c>
      <c r="H155" s="5">
        <f>IF(A155="","",IFERROR(G155/E155,0))</f>
        <v/>
      </c>
    </row>
    <row r="156">
      <c r="F156" t="n">
        <v>0</v>
      </c>
      <c r="G156">
        <f>IF(A156="","",MAX(0,E156-F156))</f>
        <v/>
      </c>
      <c r="H156" s="5">
        <f>IF(A156="","",IFERROR(G156/E156,0))</f>
        <v/>
      </c>
    </row>
    <row r="157">
      <c r="F157" t="n">
        <v>0</v>
      </c>
      <c r="G157">
        <f>IF(A157="","",MAX(0,E157-F157))</f>
        <v/>
      </c>
      <c r="H157" s="5">
        <f>IF(A157="","",IFERROR(G157/E157,0))</f>
        <v/>
      </c>
    </row>
    <row r="158">
      <c r="F158" t="n">
        <v>0</v>
      </c>
      <c r="G158">
        <f>IF(A158="","",MAX(0,E158-F158))</f>
        <v/>
      </c>
      <c r="H158" s="5">
        <f>IF(A158="","",IFERROR(G158/E158,0))</f>
        <v/>
      </c>
    </row>
    <row r="159">
      <c r="F159" t="n">
        <v>0</v>
      </c>
      <c r="G159">
        <f>IF(A159="","",MAX(0,E159-F159))</f>
        <v/>
      </c>
      <c r="H159" s="5">
        <f>IF(A159="","",IFERROR(G159/E159,0))</f>
        <v/>
      </c>
    </row>
    <row r="160">
      <c r="F160" t="n">
        <v>0</v>
      </c>
      <c r="G160">
        <f>IF(A160="","",MAX(0,E160-F160))</f>
        <v/>
      </c>
      <c r="H160" s="5">
        <f>IF(A160="","",IFERROR(G160/E160,0))</f>
        <v/>
      </c>
    </row>
    <row r="161">
      <c r="F161" t="n">
        <v>0</v>
      </c>
      <c r="G161">
        <f>IF(A161="","",MAX(0,E161-F161))</f>
        <v/>
      </c>
      <c r="H161" s="5">
        <f>IF(A161="","",IFERROR(G161/E161,0))</f>
        <v/>
      </c>
    </row>
    <row r="162">
      <c r="F162" t="n">
        <v>0</v>
      </c>
      <c r="G162">
        <f>IF(A162="","",MAX(0,E162-F162))</f>
        <v/>
      </c>
      <c r="H162" s="5">
        <f>IF(A162="","",IFERROR(G162/E162,0))</f>
        <v/>
      </c>
    </row>
    <row r="163">
      <c r="F163" t="n">
        <v>0</v>
      </c>
      <c r="G163">
        <f>IF(A163="","",MAX(0,E163-F163))</f>
        <v/>
      </c>
      <c r="H163" s="5">
        <f>IF(A163="","",IFERROR(G163/E163,0))</f>
        <v/>
      </c>
    </row>
    <row r="164">
      <c r="F164" t="n">
        <v>0</v>
      </c>
      <c r="G164">
        <f>IF(A164="","",MAX(0,E164-F164))</f>
        <v/>
      </c>
      <c r="H164" s="5">
        <f>IF(A164="","",IFERROR(G164/E164,0))</f>
        <v/>
      </c>
    </row>
    <row r="165">
      <c r="F165" t="n">
        <v>0</v>
      </c>
      <c r="G165">
        <f>IF(A165="","",MAX(0,E165-F165))</f>
        <v/>
      </c>
      <c r="H165" s="5">
        <f>IF(A165="","",IFERROR(G165/E165,0))</f>
        <v/>
      </c>
    </row>
    <row r="166">
      <c r="F166" t="n">
        <v>0</v>
      </c>
      <c r="G166">
        <f>IF(A166="","",MAX(0,E166-F166))</f>
        <v/>
      </c>
      <c r="H166" s="5">
        <f>IF(A166="","",IFERROR(G166/E166,0))</f>
        <v/>
      </c>
    </row>
    <row r="167">
      <c r="F167" t="n">
        <v>0</v>
      </c>
      <c r="G167">
        <f>IF(A167="","",MAX(0,E167-F167))</f>
        <v/>
      </c>
      <c r="H167" s="5">
        <f>IF(A167="","",IFERROR(G167/E167,0))</f>
        <v/>
      </c>
    </row>
    <row r="168">
      <c r="F168" t="n">
        <v>0</v>
      </c>
      <c r="G168">
        <f>IF(A168="","",MAX(0,E168-F168))</f>
        <v/>
      </c>
      <c r="H168" s="5">
        <f>IF(A168="","",IFERROR(G168/E168,0))</f>
        <v/>
      </c>
    </row>
    <row r="169">
      <c r="F169" t="n">
        <v>0</v>
      </c>
      <c r="G169">
        <f>IF(A169="","",MAX(0,E169-F169))</f>
        <v/>
      </c>
      <c r="H169" s="5">
        <f>IF(A169="","",IFERROR(G169/E169,0))</f>
        <v/>
      </c>
    </row>
    <row r="170">
      <c r="F170" t="n">
        <v>0</v>
      </c>
      <c r="G170">
        <f>IF(A170="","",MAX(0,E170-F170))</f>
        <v/>
      </c>
      <c r="H170" s="5">
        <f>IF(A170="","",IFERROR(G170/E170,0))</f>
        <v/>
      </c>
    </row>
    <row r="171">
      <c r="F171" t="n">
        <v>0</v>
      </c>
      <c r="G171">
        <f>IF(A171="","",MAX(0,E171-F171))</f>
        <v/>
      </c>
      <c r="H171" s="5">
        <f>IF(A171="","",IFERROR(G171/E171,0))</f>
        <v/>
      </c>
    </row>
    <row r="172">
      <c r="F172" t="n">
        <v>0</v>
      </c>
      <c r="G172">
        <f>IF(A172="","",MAX(0,E172-F172))</f>
        <v/>
      </c>
      <c r="H172" s="5">
        <f>IF(A172="","",IFERROR(G172/E172,0))</f>
        <v/>
      </c>
    </row>
    <row r="173">
      <c r="F173" t="n">
        <v>0</v>
      </c>
      <c r="G173">
        <f>IF(A173="","",MAX(0,E173-F173))</f>
        <v/>
      </c>
      <c r="H173" s="5">
        <f>IF(A173="","",IFERROR(G173/E173,0))</f>
        <v/>
      </c>
    </row>
    <row r="174">
      <c r="F174" t="n">
        <v>0</v>
      </c>
      <c r="G174">
        <f>IF(A174="","",MAX(0,E174-F174))</f>
        <v/>
      </c>
      <c r="H174" s="5">
        <f>IF(A174="","",IFERROR(G174/E174,0))</f>
        <v/>
      </c>
    </row>
    <row r="175">
      <c r="F175" t="n">
        <v>0</v>
      </c>
      <c r="G175">
        <f>IF(A175="","",MAX(0,E175-F175))</f>
        <v/>
      </c>
      <c r="H175" s="5">
        <f>IF(A175="","",IFERROR(G175/E175,0))</f>
        <v/>
      </c>
    </row>
    <row r="176">
      <c r="F176" t="n">
        <v>0</v>
      </c>
      <c r="G176">
        <f>IF(A176="","",MAX(0,E176-F176))</f>
        <v/>
      </c>
      <c r="H176" s="5">
        <f>IF(A176="","",IFERROR(G176/E176,0))</f>
        <v/>
      </c>
    </row>
    <row r="177">
      <c r="F177" t="n">
        <v>0</v>
      </c>
      <c r="G177">
        <f>IF(A177="","",MAX(0,E177-F177))</f>
        <v/>
      </c>
      <c r="H177" s="5">
        <f>IF(A177="","",IFERROR(G177/E177,0))</f>
        <v/>
      </c>
    </row>
    <row r="178">
      <c r="F178" t="n">
        <v>0</v>
      </c>
      <c r="G178">
        <f>IF(A178="","",MAX(0,E178-F178))</f>
        <v/>
      </c>
      <c r="H178" s="5">
        <f>IF(A178="","",IFERROR(G178/E178,0))</f>
        <v/>
      </c>
    </row>
    <row r="179">
      <c r="F179" t="n">
        <v>0</v>
      </c>
      <c r="G179">
        <f>IF(A179="","",MAX(0,E179-F179))</f>
        <v/>
      </c>
      <c r="H179" s="5">
        <f>IF(A179="","",IFERROR(G179/E179,0))</f>
        <v/>
      </c>
    </row>
    <row r="180">
      <c r="F180" t="n">
        <v>0</v>
      </c>
      <c r="G180">
        <f>IF(A180="","",MAX(0,E180-F180))</f>
        <v/>
      </c>
      <c r="H180" s="5">
        <f>IF(A180="","",IFERROR(G180/E180,0))</f>
        <v/>
      </c>
    </row>
    <row r="181">
      <c r="F181" t="n">
        <v>0</v>
      </c>
      <c r="G181">
        <f>IF(A181="","",MAX(0,E181-F181))</f>
        <v/>
      </c>
      <c r="H181" s="5">
        <f>IF(A181="","",IFERROR(G181/E181,0))</f>
        <v/>
      </c>
    </row>
    <row r="182">
      <c r="F182" t="n">
        <v>0</v>
      </c>
      <c r="G182">
        <f>IF(A182="","",MAX(0,E182-F182))</f>
        <v/>
      </c>
      <c r="H182" s="5">
        <f>IF(A182="","",IFERROR(G182/E182,0))</f>
        <v/>
      </c>
    </row>
    <row r="183">
      <c r="F183" t="n">
        <v>0</v>
      </c>
      <c r="G183">
        <f>IF(A183="","",MAX(0,E183-F183))</f>
        <v/>
      </c>
      <c r="H183" s="5">
        <f>IF(A183="","",IFERROR(G183/E183,0))</f>
        <v/>
      </c>
    </row>
    <row r="184">
      <c r="F184" t="n">
        <v>0</v>
      </c>
      <c r="G184">
        <f>IF(A184="","",MAX(0,E184-F184))</f>
        <v/>
      </c>
      <c r="H184" s="5">
        <f>IF(A184="","",IFERROR(G184/E184,0))</f>
        <v/>
      </c>
    </row>
    <row r="185">
      <c r="F185" t="n">
        <v>0</v>
      </c>
      <c r="G185">
        <f>IF(A185="","",MAX(0,E185-F185))</f>
        <v/>
      </c>
      <c r="H185" s="5">
        <f>IF(A185="","",IFERROR(G185/E185,0))</f>
        <v/>
      </c>
    </row>
    <row r="186">
      <c r="F186" t="n">
        <v>0</v>
      </c>
      <c r="G186">
        <f>IF(A186="","",MAX(0,E186-F186))</f>
        <v/>
      </c>
      <c r="H186" s="5">
        <f>IF(A186="","",IFERROR(G186/E186,0))</f>
        <v/>
      </c>
    </row>
    <row r="187">
      <c r="F187" t="n">
        <v>0</v>
      </c>
      <c r="G187">
        <f>IF(A187="","",MAX(0,E187-F187))</f>
        <v/>
      </c>
      <c r="H187" s="5">
        <f>IF(A187="","",IFERROR(G187/E187,0))</f>
        <v/>
      </c>
    </row>
    <row r="188">
      <c r="F188" t="n">
        <v>0</v>
      </c>
      <c r="G188">
        <f>IF(A188="","",MAX(0,E188-F188))</f>
        <v/>
      </c>
      <c r="H188" s="5">
        <f>IF(A188="","",IFERROR(G188/E188,0))</f>
        <v/>
      </c>
    </row>
    <row r="189">
      <c r="F189" t="n">
        <v>0</v>
      </c>
      <c r="G189">
        <f>IF(A189="","",MAX(0,E189-F189))</f>
        <v/>
      </c>
      <c r="H189" s="5">
        <f>IF(A189="","",IFERROR(G189/E189,0))</f>
        <v/>
      </c>
    </row>
    <row r="190">
      <c r="F190" t="n">
        <v>0</v>
      </c>
      <c r="G190">
        <f>IF(A190="","",MAX(0,E190-F190))</f>
        <v/>
      </c>
      <c r="H190" s="5">
        <f>IF(A190="","",IFERROR(G190/E190,0))</f>
        <v/>
      </c>
    </row>
    <row r="191">
      <c r="F191" t="n">
        <v>0</v>
      </c>
      <c r="G191">
        <f>IF(A191="","",MAX(0,E191-F191))</f>
        <v/>
      </c>
      <c r="H191" s="5">
        <f>IF(A191="","",IFERROR(G191/E191,0))</f>
        <v/>
      </c>
    </row>
    <row r="192">
      <c r="F192" t="n">
        <v>0</v>
      </c>
      <c r="G192">
        <f>IF(A192="","",MAX(0,E192-F192))</f>
        <v/>
      </c>
      <c r="H192" s="5">
        <f>IF(A192="","",IFERROR(G192/E192,0))</f>
        <v/>
      </c>
    </row>
    <row r="193">
      <c r="F193" t="n">
        <v>0</v>
      </c>
      <c r="G193">
        <f>IF(A193="","",MAX(0,E193-F193))</f>
        <v/>
      </c>
      <c r="H193" s="5">
        <f>IF(A193="","",IFERROR(G193/E193,0))</f>
        <v/>
      </c>
    </row>
    <row r="194">
      <c r="F194" t="n">
        <v>0</v>
      </c>
      <c r="G194">
        <f>IF(A194="","",MAX(0,E194-F194))</f>
        <v/>
      </c>
      <c r="H194" s="5">
        <f>IF(A194="","",IFERROR(G194/E194,0))</f>
        <v/>
      </c>
    </row>
    <row r="195">
      <c r="F195" t="n">
        <v>0</v>
      </c>
      <c r="G195">
        <f>IF(A195="","",MAX(0,E195-F195))</f>
        <v/>
      </c>
      <c r="H195" s="5">
        <f>IF(A195="","",IFERROR(G195/E195,0))</f>
        <v/>
      </c>
    </row>
    <row r="196">
      <c r="F196" t="n">
        <v>0</v>
      </c>
      <c r="G196">
        <f>IF(A196="","",MAX(0,E196-F196))</f>
        <v/>
      </c>
      <c r="H196" s="5">
        <f>IF(A196="","",IFERROR(G196/E196,0))</f>
        <v/>
      </c>
    </row>
    <row r="197">
      <c r="F197" t="n">
        <v>0</v>
      </c>
      <c r="G197">
        <f>IF(A197="","",MAX(0,E197-F197))</f>
        <v/>
      </c>
      <c r="H197" s="5">
        <f>IF(A197="","",IFERROR(G197/E197,0))</f>
        <v/>
      </c>
    </row>
    <row r="198">
      <c r="F198" t="n">
        <v>0</v>
      </c>
      <c r="G198">
        <f>IF(A198="","",MAX(0,E198-F198))</f>
        <v/>
      </c>
      <c r="H198" s="5">
        <f>IF(A198="","",IFERROR(G198/E198,0))</f>
        <v/>
      </c>
    </row>
    <row r="199">
      <c r="F199" t="n">
        <v>0</v>
      </c>
      <c r="G199">
        <f>IF(A199="","",MAX(0,E199-F199))</f>
        <v/>
      </c>
      <c r="H199" s="5">
        <f>IF(A199="","",IFERROR(G199/E199,0))</f>
        <v/>
      </c>
    </row>
    <row r="200">
      <c r="F200" t="n">
        <v>0</v>
      </c>
      <c r="G200">
        <f>IF(A200="","",MAX(0,E200-F200))</f>
        <v/>
      </c>
      <c r="H200" s="5">
        <f>IF(A200="","",IFERROR(G200/E200,0))</f>
        <v/>
      </c>
    </row>
    <row r="201">
      <c r="F201" t="n">
        <v>0</v>
      </c>
      <c r="G201">
        <f>IF(A201="","",MAX(0,E201-F201))</f>
        <v/>
      </c>
      <c r="H201" s="5">
        <f>IF(A201="","",IFERROR(G201/E201,0))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22" customWidth="1" min="2" max="2"/>
  </cols>
  <sheetData>
    <row r="1">
      <c r="A1" s="4" t="inlineStr">
        <is>
          <t>Ugello</t>
        </is>
      </c>
      <c r="B1" s="4" t="inlineStr">
        <is>
          <t>ID Bobina caricata</t>
        </is>
      </c>
    </row>
    <row r="2">
      <c r="A2" t="n">
        <v>1</v>
      </c>
      <c r="B2" t="inlineStr">
        <is>
          <t>B001</t>
        </is>
      </c>
    </row>
    <row r="3">
      <c r="A3" t="n">
        <v>2</v>
      </c>
      <c r="B3" t="inlineStr">
        <is>
          <t>B002</t>
        </is>
      </c>
    </row>
    <row r="4">
      <c r="A4" t="n">
        <v>3</v>
      </c>
      <c r="B4" t="inlineStr">
        <is>
          <t>B003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1"/>
    <col width="28" customWidth="1" min="2" max="2"/>
    <col width="10" customWidth="1" min="3" max="3"/>
    <col width="14" customWidth="1" min="4" max="4"/>
    <col width="18" customWidth="1" min="5" max="6"/>
    <col width="35" customWidth="1" min="7" max="7"/>
  </cols>
  <sheetData>
    <row r="1">
      <c r="A1" s="4" t="inlineStr">
        <is>
          <t>Data/Ora</t>
        </is>
      </c>
      <c r="B1" s="4" t="inlineStr">
        <is>
          <t>Nome stampa</t>
        </is>
      </c>
      <c r="C1" s="4" t="inlineStr">
        <is>
          <t>Ugello</t>
        </is>
      </c>
      <c r="D1" s="4" t="inlineStr">
        <is>
          <t>ID Bobina</t>
        </is>
      </c>
      <c r="E1" s="4" t="inlineStr">
        <is>
          <t>Materiale</t>
        </is>
      </c>
      <c r="F1" s="4" t="inlineStr">
        <is>
          <t>Grammi consumati</t>
        </is>
      </c>
      <c r="G1" s="4" t="inlineStr">
        <is>
          <t>Note</t>
        </is>
      </c>
      <c r="H1" t="inlineStr">
        <is>
          <t>ID Stampa</t>
        </is>
      </c>
      <c r="I1" t="inlineStr">
        <is>
          <t>Durata (min)</t>
        </is>
      </c>
      <c r="J1" t="inlineStr">
        <is>
          <t>Inizio nel calendario</t>
        </is>
      </c>
    </row>
    <row r="2">
      <c r="A2" s="7" t="n"/>
    </row>
    <row r="3">
      <c r="A3" s="7" t="n"/>
    </row>
    <row r="4">
      <c r="A4" s="8" t="n">
        <v>46280.58472222222</v>
      </c>
      <c r="B4" t="inlineStr">
        <is>
          <t>Colon keychain arancioni</t>
        </is>
      </c>
      <c r="C4" t="n">
        <v>3</v>
      </c>
      <c r="D4" t="inlineStr">
        <is>
          <t>B003</t>
        </is>
      </c>
      <c r="E4" t="inlineStr">
        <is>
          <t>ABS</t>
        </is>
      </c>
      <c r="F4" t="n">
        <v>30</v>
      </c>
      <c r="G4" t="inlineStr">
        <is>
          <t>Porrtachiavi arancioni colon per notte dei ricercatori</t>
        </is>
      </c>
      <c r="H4" t="inlineStr">
        <is>
          <t>c4172292-a096-4bb8-a330-2412f5a16bb3</t>
        </is>
      </c>
    </row>
    <row r="5">
      <c r="A5" s="8" t="n">
        <v>46280.58472222222</v>
      </c>
      <c r="B5" t="inlineStr">
        <is>
          <t>Colon keychain arancioni</t>
        </is>
      </c>
      <c r="C5" t="n">
        <v>2</v>
      </c>
      <c r="D5" t="inlineStr">
        <is>
          <t>B002</t>
        </is>
      </c>
      <c r="E5" t="inlineStr">
        <is>
          <t>Supporto</t>
        </is>
      </c>
      <c r="F5" t="n">
        <v>50</v>
      </c>
      <c r="G5" t="inlineStr">
        <is>
          <t>Porrtachiavi arancioni colon per notte dei ricercatori</t>
        </is>
      </c>
      <c r="H5" t="inlineStr">
        <is>
          <t>c4172292-a096-4bb8-a330-2412f5a16bb3</t>
        </is>
      </c>
    </row>
    <row r="6">
      <c r="A6" s="8" t="n">
        <v>46281.42638888889</v>
      </c>
      <c r="B6" t="inlineStr">
        <is>
          <t>Scatole da D1 a D5 con inserti separati</t>
        </is>
      </c>
      <c r="C6" t="n">
        <v>1</v>
      </c>
      <c r="D6" t="inlineStr">
        <is>
          <t>B001</t>
        </is>
      </c>
      <c r="E6" t="inlineStr">
        <is>
          <t>ABS</t>
        </is>
      </c>
      <c r="F6" t="n">
        <v>36</v>
      </c>
      <c r="H6" t="inlineStr">
        <is>
          <t>0a9569eb-86c6-44e5-b208-a297dfd89bf6</t>
        </is>
      </c>
    </row>
    <row r="7">
      <c r="A7" s="8" t="n">
        <v>46281.42638888889</v>
      </c>
      <c r="B7" t="inlineStr">
        <is>
          <t>Scatole da D1 a D5 con inserti separati</t>
        </is>
      </c>
      <c r="C7" t="n">
        <v>2</v>
      </c>
      <c r="D7" t="inlineStr">
        <is>
          <t>B002</t>
        </is>
      </c>
      <c r="E7" t="inlineStr">
        <is>
          <t>Supporto</t>
        </is>
      </c>
      <c r="F7" t="n">
        <v>125</v>
      </c>
      <c r="H7" t="inlineStr">
        <is>
          <t>0a9569eb-86c6-44e5-b208-a297dfd89bf6</t>
        </is>
      </c>
    </row>
    <row r="8">
      <c r="A8" s="8" t="n">
        <v>46281.42638888889</v>
      </c>
      <c r="B8" t="inlineStr">
        <is>
          <t>Scatole da D1 a D5 con inserti separati</t>
        </is>
      </c>
      <c r="C8" t="n">
        <v>3</v>
      </c>
      <c r="D8" t="inlineStr">
        <is>
          <t>B003</t>
        </is>
      </c>
      <c r="E8" t="inlineStr">
        <is>
          <t>ABS</t>
        </is>
      </c>
      <c r="F8" t="n">
        <v>289</v>
      </c>
      <c r="H8" t="inlineStr">
        <is>
          <t>0a9569eb-86c6-44e5-b208-a297dfd89bf6</t>
        </is>
      </c>
    </row>
    <row r="9">
      <c r="A9" s="8" t="n">
        <v>46281.4375</v>
      </c>
      <c r="B9" t="inlineStr">
        <is>
          <t>ScatoleD1D5_inserti</t>
        </is>
      </c>
      <c r="C9" t="n">
        <v>1</v>
      </c>
      <c r="D9" t="inlineStr">
        <is>
          <t>B001</t>
        </is>
      </c>
      <c r="E9" t="inlineStr">
        <is>
          <t>ABS</t>
        </is>
      </c>
      <c r="F9" t="n">
        <v>36</v>
      </c>
      <c r="G9" t="inlineStr">
        <is>
          <t>Scatole palpable da D1 a D5 con inserti</t>
        </is>
      </c>
      <c r="H9" t="inlineStr">
        <is>
          <t>4b41cce9-5f53-4d19-9e69-0e8254ff52e7</t>
        </is>
      </c>
      <c r="I9" t="n">
        <v>1815</v>
      </c>
    </row>
    <row r="10">
      <c r="A10" s="8" t="n">
        <v>46281.4375</v>
      </c>
      <c r="B10" t="inlineStr">
        <is>
          <t>ScatoleD1D5_inserti</t>
        </is>
      </c>
      <c r="C10" t="n">
        <v>2</v>
      </c>
      <c r="D10" t="inlineStr">
        <is>
          <t>B002</t>
        </is>
      </c>
      <c r="E10" t="inlineStr">
        <is>
          <t>Supporto</t>
        </is>
      </c>
      <c r="F10" t="n">
        <v>125</v>
      </c>
      <c r="G10" t="inlineStr">
        <is>
          <t>Scatole palpable da D1 a D5 con inserti</t>
        </is>
      </c>
      <c r="H10" t="inlineStr">
        <is>
          <t>4b41cce9-5f53-4d19-9e69-0e8254ff52e7</t>
        </is>
      </c>
      <c r="I10" t="n">
        <v>1815</v>
      </c>
    </row>
    <row r="11">
      <c r="A11" s="8" t="n">
        <v>46281.4375</v>
      </c>
      <c r="B11" t="inlineStr">
        <is>
          <t>ScatoleD1D5_inserti</t>
        </is>
      </c>
      <c r="C11" t="n">
        <v>3</v>
      </c>
      <c r="D11" t="inlineStr">
        <is>
          <t>B003</t>
        </is>
      </c>
      <c r="E11" t="inlineStr">
        <is>
          <t>ABS</t>
        </is>
      </c>
      <c r="F11" t="n">
        <v>289</v>
      </c>
      <c r="G11" t="inlineStr">
        <is>
          <t>Scatole palpable da D1 a D5 con inserti</t>
        </is>
      </c>
      <c r="H11" t="inlineStr">
        <is>
          <t>4b41cce9-5f53-4d19-9e69-0e8254ff52e7</t>
        </is>
      </c>
      <c r="I11" t="n">
        <v>1815</v>
      </c>
    </row>
    <row r="12">
      <c r="A12" s="8" t="n">
        <v>46283.44583333333</v>
      </c>
      <c r="B12" t="inlineStr">
        <is>
          <t>Colon keychain 32arancioni e 32verdi</t>
        </is>
      </c>
      <c r="C12" t="n">
        <v>1</v>
      </c>
      <c r="D12" t="inlineStr">
        <is>
          <t>B006</t>
        </is>
      </c>
      <c r="E12" t="inlineStr">
        <is>
          <t>ABS</t>
        </is>
      </c>
      <c r="F12" t="n">
        <v>64</v>
      </c>
      <c r="G12" t="inlineStr">
        <is>
          <t>Portachiavi colon per notte dei ricercatori</t>
        </is>
      </c>
      <c r="H12" t="inlineStr">
        <is>
          <t>ef366810-7fa1-4bd4-9bf9-8e3415150458</t>
        </is>
      </c>
      <c r="I12" t="n">
        <v>720</v>
      </c>
      <c r="J12" s="8" t="n">
        <v>46282.72916666666</v>
      </c>
    </row>
    <row r="13">
      <c r="A13" s="8" t="n">
        <v>46283.44583333333</v>
      </c>
      <c r="B13" t="inlineStr">
        <is>
          <t>Colon keychain 32arancioni e 32verdi</t>
        </is>
      </c>
      <c r="C13" t="n">
        <v>2</v>
      </c>
      <c r="D13" t="inlineStr">
        <is>
          <t>B002</t>
        </is>
      </c>
      <c r="E13" t="inlineStr">
        <is>
          <t>Supporto</t>
        </is>
      </c>
      <c r="F13" t="n">
        <v>100</v>
      </c>
      <c r="G13" t="inlineStr">
        <is>
          <t>Portachiavi colon per notte dei ricercatori</t>
        </is>
      </c>
      <c r="H13" t="inlineStr">
        <is>
          <t>ef366810-7fa1-4bd4-9bf9-8e3415150458</t>
        </is>
      </c>
      <c r="I13" t="n">
        <v>720</v>
      </c>
      <c r="J13" s="8" t="n">
        <v>46282.72916666666</v>
      </c>
    </row>
    <row r="14">
      <c r="A14" s="8" t="n">
        <v>46283.44583333333</v>
      </c>
      <c r="B14" t="inlineStr">
        <is>
          <t>Colon keychain 32arancioni e 32verdi</t>
        </is>
      </c>
      <c r="C14" t="n">
        <v>3</v>
      </c>
      <c r="D14" t="inlineStr">
        <is>
          <t>B003</t>
        </is>
      </c>
      <c r="E14" t="inlineStr">
        <is>
          <t>ABS</t>
        </is>
      </c>
      <c r="F14" t="n">
        <v>64</v>
      </c>
      <c r="G14" t="inlineStr">
        <is>
          <t>Portachiavi colon per notte dei ricercatori</t>
        </is>
      </c>
      <c r="H14" t="inlineStr">
        <is>
          <t>ef366810-7fa1-4bd4-9bf9-8e3415150458</t>
        </is>
      </c>
      <c r="I14" t="n">
        <v>720</v>
      </c>
      <c r="J14" s="8" t="n">
        <v>46282.72916666666</v>
      </c>
    </row>
    <row r="15">
      <c r="A15" s="8" t="n">
        <v>46288.55694444444</v>
      </c>
      <c r="B15" t="inlineStr">
        <is>
          <t>Phantom_part3</t>
        </is>
      </c>
      <c r="C15" t="n">
        <v>1</v>
      </c>
      <c r="D15" t="inlineStr">
        <is>
          <t>B001</t>
        </is>
      </c>
      <c r="E15" t="inlineStr">
        <is>
          <t>ABS</t>
        </is>
      </c>
      <c r="F15" t="n">
        <v>10</v>
      </c>
      <c r="G15" t="inlineStr">
        <is>
          <t>1 parte superiore phantom</t>
        </is>
      </c>
      <c r="H15" t="inlineStr">
        <is>
          <t>6279a9a1-9ecb-40fa-ae2e-13082f8b2c8d</t>
        </is>
      </c>
      <c r="I15" t="n">
        <v>4080</v>
      </c>
      <c r="J15" s="8" t="n">
        <v>46283.22916666666</v>
      </c>
    </row>
    <row r="16">
      <c r="A16" s="8" t="n">
        <v>46288.55694444444</v>
      </c>
      <c r="B16" t="inlineStr">
        <is>
          <t>Phantom_part3</t>
        </is>
      </c>
      <c r="C16" t="n">
        <v>2</v>
      </c>
      <c r="D16" t="inlineStr">
        <is>
          <t>B002</t>
        </is>
      </c>
      <c r="E16" t="inlineStr">
        <is>
          <t>Supporto</t>
        </is>
      </c>
      <c r="F16" t="n">
        <v>10</v>
      </c>
      <c r="G16" t="inlineStr">
        <is>
          <t>1 parte superiore phantom</t>
        </is>
      </c>
      <c r="H16" t="inlineStr">
        <is>
          <t>6279a9a1-9ecb-40fa-ae2e-13082f8b2c8d</t>
        </is>
      </c>
      <c r="I16" t="n">
        <v>4080</v>
      </c>
      <c r="J16" s="8" t="n">
        <v>46283.22916666666</v>
      </c>
    </row>
    <row r="17">
      <c r="A17" s="8" t="n">
        <v>46288.55694444444</v>
      </c>
      <c r="B17" t="inlineStr">
        <is>
          <t>Phantom_part3</t>
        </is>
      </c>
      <c r="C17" t="n">
        <v>3</v>
      </c>
      <c r="D17" t="inlineStr">
        <is>
          <t>B003</t>
        </is>
      </c>
      <c r="E17" t="inlineStr">
        <is>
          <t>ABS</t>
        </is>
      </c>
      <c r="F17" t="n">
        <v>10</v>
      </c>
      <c r="G17" t="inlineStr">
        <is>
          <t>1 parte superiore phantom</t>
        </is>
      </c>
      <c r="H17" t="inlineStr">
        <is>
          <t>6279a9a1-9ecb-40fa-ae2e-13082f8b2c8d</t>
        </is>
      </c>
      <c r="I17" t="n">
        <v>4080</v>
      </c>
      <c r="J17" s="8" t="n">
        <v>46283.22916666666</v>
      </c>
    </row>
    <row r="18">
      <c r="A18" s="8" t="n">
        <v>46288.55694444444</v>
      </c>
      <c r="B18" t="inlineStr">
        <is>
          <t>ScatoleP1P5_inserti</t>
        </is>
      </c>
      <c r="C18" t="n">
        <v>1</v>
      </c>
      <c r="D18" t="inlineStr">
        <is>
          <t>B001</t>
        </is>
      </c>
      <c r="E18" t="inlineStr">
        <is>
          <t>ABS</t>
        </is>
      </c>
      <c r="F18" t="n">
        <v>10</v>
      </c>
      <c r="G18" t="inlineStr">
        <is>
          <t>Scatole palpable da P1 a P5</t>
        </is>
      </c>
      <c r="H18" t="inlineStr">
        <is>
          <t>774fcc2e-eaac-4db2-bbfb-14259f5b254c</t>
        </is>
      </c>
      <c r="I18" t="n">
        <v>1860</v>
      </c>
      <c r="J18" s="8" t="n">
        <v>46286.09375</v>
      </c>
    </row>
    <row r="19">
      <c r="A19" s="8" t="n">
        <v>46288.55694444444</v>
      </c>
      <c r="B19" t="inlineStr">
        <is>
          <t>ScatoleP1P5_inserti</t>
        </is>
      </c>
      <c r="C19" t="n">
        <v>2</v>
      </c>
      <c r="D19" t="inlineStr">
        <is>
          <t>B002</t>
        </is>
      </c>
      <c r="E19" t="inlineStr">
        <is>
          <t>Supporto</t>
        </is>
      </c>
      <c r="F19" t="n">
        <v>10</v>
      </c>
      <c r="G19" t="inlineStr">
        <is>
          <t>Scatole palpable da P1 a P5</t>
        </is>
      </c>
      <c r="H19" t="inlineStr">
        <is>
          <t>774fcc2e-eaac-4db2-bbfb-14259f5b254c</t>
        </is>
      </c>
      <c r="I19" t="n">
        <v>1860</v>
      </c>
      <c r="J19" s="8" t="n">
        <v>46286.09375</v>
      </c>
    </row>
    <row r="20">
      <c r="A20" s="8" t="n">
        <v>46288.55694444444</v>
      </c>
      <c r="B20" t="inlineStr">
        <is>
          <t>ScatoleP1P5_inserti</t>
        </is>
      </c>
      <c r="C20" t="n">
        <v>3</v>
      </c>
      <c r="D20" t="inlineStr">
        <is>
          <t>B003</t>
        </is>
      </c>
      <c r="E20" t="inlineStr">
        <is>
          <t>ABS</t>
        </is>
      </c>
      <c r="F20" t="n">
        <v>10</v>
      </c>
      <c r="G20" t="inlineStr">
        <is>
          <t>Scatole palpable da P1 a P5</t>
        </is>
      </c>
      <c r="H20" t="inlineStr">
        <is>
          <t>774fcc2e-eaac-4db2-bbfb-14259f5b254c</t>
        </is>
      </c>
      <c r="I20" t="n">
        <v>1860</v>
      </c>
      <c r="J20" s="8" t="n">
        <v>46286.09375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10" defaultColWidth="8.83203125" defaultRowHeight="15"/>
  <cols>
    <col width="8" customWidth="1" min="4" max="4"/>
    <col width="55" customWidth="1" min="5" max="5"/>
    <col width="18" customWidth="1" min="7" max="7"/>
  </cols>
  <sheetData>
    <row r="1">
      <c r="A1" s="1" t="inlineStr">
        <is>
          <t>Materiali</t>
        </is>
      </c>
      <c r="B1" s="1" t="inlineStr">
        <is>
          <t>Stampanti</t>
        </is>
      </c>
      <c r="D1" s="1" t="inlineStr">
        <is>
          <t>COME SI USA</t>
        </is>
      </c>
      <c r="E1" s="2" t="n"/>
      <c r="G1" t="inlineStr">
        <is>
          <t>Stati bobina</t>
        </is>
      </c>
    </row>
    <row r="2" ht="16" customHeight="1">
      <c r="A2" t="inlineStr">
        <is>
          <t>PLA</t>
        </is>
      </c>
      <c r="B2" t="inlineStr">
        <is>
          <t>Bambu Lab X2D</t>
        </is>
      </c>
      <c r="D2" t="inlineStr">
        <is>
          <t>1</t>
        </is>
      </c>
      <c r="E2" s="3" t="inlineStr">
        <is>
          <t>Aggiungi ogni nuova bobina nel foglio Bobine.</t>
        </is>
      </c>
      <c r="G2" t="inlineStr">
        <is>
          <t>Disponibile</t>
        </is>
      </c>
    </row>
    <row r="3" ht="16" customHeight="1">
      <c r="A3" t="inlineStr">
        <is>
          <t>PETG</t>
        </is>
      </c>
      <c r="B3" t="inlineStr">
        <is>
          <t>Altra 1</t>
        </is>
      </c>
      <c r="D3" t="inlineStr">
        <is>
          <t>2</t>
        </is>
      </c>
      <c r="E3" s="3" t="inlineStr">
        <is>
          <t>Quando lanci una stampa, aggiungila nel foglio Stampe.</t>
        </is>
      </c>
      <c r="G3" t="inlineStr">
        <is>
          <t>Caricata</t>
        </is>
      </c>
    </row>
    <row r="4" ht="16" customHeight="1">
      <c r="A4" t="inlineStr">
        <is>
          <t>ABS</t>
        </is>
      </c>
      <c r="B4" t="inlineStr">
        <is>
          <t>Altra 2</t>
        </is>
      </c>
      <c r="D4" t="inlineStr">
        <is>
          <t>3</t>
        </is>
      </c>
      <c r="E4" s="3" t="inlineStr">
        <is>
          <t>Inserisci grammi e metri indicati dallo slicer.</t>
        </is>
      </c>
      <c r="G4" t="inlineStr">
        <is>
          <t>Esaurita</t>
        </is>
      </c>
    </row>
    <row r="5" ht="16" customHeight="1">
      <c r="A5" t="inlineStr">
        <is>
          <t>ASA</t>
        </is>
      </c>
      <c r="B5" t="inlineStr">
        <is>
          <t>Altro</t>
        </is>
      </c>
      <c r="D5" t="inlineStr">
        <is>
          <t>4</t>
        </is>
      </c>
      <c r="E5" s="3" t="inlineStr">
        <is>
          <t>Il residuo della bobina viene aggiornato automaticamente.</t>
        </is>
      </c>
    </row>
    <row r="6">
      <c r="A6" t="inlineStr">
        <is>
          <t>TPU</t>
        </is>
      </c>
    </row>
    <row r="7">
      <c r="A7" t="inlineStr">
        <is>
          <t>PA/Nylon</t>
        </is>
      </c>
    </row>
    <row r="8">
      <c r="A8" t="inlineStr">
        <is>
          <t>Altro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 Pianificazione</t>
        </is>
      </c>
      <c r="B1" t="inlineStr">
        <is>
          <t>Nome stampa</t>
        </is>
      </c>
      <c r="C1" t="inlineStr">
        <is>
          <t>Durata (min)</t>
        </is>
      </c>
      <c r="D1" t="inlineStr">
        <is>
          <t>Inizio previsto</t>
        </is>
      </c>
      <c r="E1" t="inlineStr">
        <is>
          <t>Ugello</t>
        </is>
      </c>
      <c r="F1" t="inlineStr">
        <is>
          <t>ID Bobina</t>
        </is>
      </c>
      <c r="G1" t="inlineStr">
        <is>
          <t>Materiale</t>
        </is>
      </c>
      <c r="H1" t="inlineStr">
        <is>
          <t>Grammi previsti</t>
        </is>
      </c>
      <c r="I1" t="inlineStr">
        <is>
          <t>Note</t>
        </is>
      </c>
      <c r="J1" t="inlineStr">
        <is>
          <t>Creata il</t>
        </is>
      </c>
      <c r="K1" t="inlineStr">
        <is>
          <t>Priorità</t>
        </is>
      </c>
    </row>
    <row r="2">
      <c r="D2" s="8" t="n"/>
      <c r="J2" s="8" t="n"/>
    </row>
    <row r="3">
      <c r="D3" s="8" t="n"/>
      <c r="J3" s="8" t="n"/>
    </row>
    <row r="4">
      <c r="D4" s="8" t="n"/>
      <c r="J4" s="8" t="n"/>
    </row>
    <row r="5">
      <c r="A5" t="inlineStr">
        <is>
          <t>58e8ef87-b799-4b9e-ac2d-62b2f4e2a9e5</t>
        </is>
      </c>
      <c r="B5" t="inlineStr">
        <is>
          <t>ScatoleDAPAV1V2V3+inserti.3mf</t>
        </is>
      </c>
      <c r="C5" t="n">
        <v>1800</v>
      </c>
      <c r="D5" s="8" t="n">
        <v>46296.71875</v>
      </c>
      <c r="E5" t="n">
        <v>1</v>
      </c>
      <c r="F5" t="inlineStr">
        <is>
          <t>B001</t>
        </is>
      </c>
      <c r="G5" t="inlineStr">
        <is>
          <t>ABS</t>
        </is>
      </c>
      <c r="H5" t="n">
        <v>10</v>
      </c>
      <c r="I5" t="inlineStr">
        <is>
          <t>Scatole palpable DA PA V1 V2 V3</t>
        </is>
      </c>
      <c r="J5" s="8" t="n">
        <v>46282.43368086805</v>
      </c>
      <c r="K5" t="inlineStr">
        <is>
          <t>SUBITO</t>
        </is>
      </c>
    </row>
    <row r="6">
      <c r="A6" t="inlineStr">
        <is>
          <t>58e8ef87-b799-4b9e-ac2d-62b2f4e2a9e5</t>
        </is>
      </c>
      <c r="B6" t="inlineStr">
        <is>
          <t>ScatoleDAPAV1V2V3+inserti.3mf</t>
        </is>
      </c>
      <c r="C6" t="n">
        <v>1800</v>
      </c>
      <c r="D6" s="8" t="n">
        <v>46296.71875</v>
      </c>
      <c r="E6" t="n">
        <v>2</v>
      </c>
      <c r="F6" t="inlineStr">
        <is>
          <t>B002</t>
        </is>
      </c>
      <c r="G6" t="inlineStr">
        <is>
          <t>Supporto</t>
        </is>
      </c>
      <c r="H6" t="n">
        <v>10</v>
      </c>
      <c r="I6" t="inlineStr">
        <is>
          <t>Scatole palpable DA PA V1 V2 V3</t>
        </is>
      </c>
      <c r="J6" s="8" t="n">
        <v>46282.43368086805</v>
      </c>
      <c r="K6" t="inlineStr">
        <is>
          <t>SUBITO</t>
        </is>
      </c>
    </row>
    <row r="7">
      <c r="A7" t="inlineStr">
        <is>
          <t>58e8ef87-b799-4b9e-ac2d-62b2f4e2a9e5</t>
        </is>
      </c>
      <c r="B7" t="inlineStr">
        <is>
          <t>ScatoleDAPAV1V2V3+inserti.3mf</t>
        </is>
      </c>
      <c r="C7" t="n">
        <v>1800</v>
      </c>
      <c r="D7" s="8" t="n">
        <v>46296.71875</v>
      </c>
      <c r="E7" t="n">
        <v>3</v>
      </c>
      <c r="F7" t="inlineStr">
        <is>
          <t>B003</t>
        </is>
      </c>
      <c r="G7" t="inlineStr">
        <is>
          <t>ABS</t>
        </is>
      </c>
      <c r="H7" t="n">
        <v>10</v>
      </c>
      <c r="I7" t="inlineStr">
        <is>
          <t>Scatole palpable DA PA V1 V2 V3</t>
        </is>
      </c>
      <c r="J7" s="8" t="n">
        <v>46282.43368086805</v>
      </c>
      <c r="K7" t="inlineStr">
        <is>
          <t>SUBITO</t>
        </is>
      </c>
    </row>
    <row r="8">
      <c r="J8" s="8" t="n"/>
    </row>
    <row r="9">
      <c r="J9" s="8" t="n"/>
    </row>
    <row r="10">
      <c r="J10" s="8" t="n"/>
    </row>
    <row r="11">
      <c r="D11" s="8" t="n"/>
      <c r="J11" s="8" t="n"/>
    </row>
    <row r="12">
      <c r="D12" s="8" t="n"/>
      <c r="J12" s="8" t="n"/>
    </row>
    <row r="13">
      <c r="D13" s="8" t="n"/>
      <c r="J13" s="8" t="n"/>
    </row>
    <row r="14">
      <c r="D14" s="8" t="n"/>
      <c r="J14" s="8" t="n"/>
    </row>
    <row r="15">
      <c r="D15" s="8" t="n"/>
      <c r="J15" s="8" t="n"/>
    </row>
    <row r="16">
      <c r="D16" s="8" t="n"/>
      <c r="J16" s="8" t="n"/>
    </row>
    <row r="17">
      <c r="D17" s="8" t="n"/>
      <c r="J17" s="8" t="n"/>
    </row>
    <row r="18">
      <c r="D18" s="8" t="n"/>
      <c r="J18" s="8" t="n"/>
    </row>
    <row r="19">
      <c r="D19" s="8" t="n"/>
      <c r="J19" s="8" t="n"/>
    </row>
    <row r="20">
      <c r="J20" s="8" t="n"/>
    </row>
    <row r="21">
      <c r="J21" s="8" t="n"/>
    </row>
    <row r="22">
      <c r="J22" s="8" t="n"/>
    </row>
    <row r="23">
      <c r="A23" t="inlineStr">
        <is>
          <t>781cadba-d555-4a79-897d-1361ebfaeb0b</t>
        </is>
      </c>
      <c r="B23" t="inlineStr">
        <is>
          <t>Scatole GA + inserti + triangoli</t>
        </is>
      </c>
      <c r="C23" t="n">
        <v>1800</v>
      </c>
      <c r="D23" s="8" t="n">
        <v>46295.36458333334</v>
      </c>
      <c r="E23" t="n">
        <v>1</v>
      </c>
      <c r="F23" t="inlineStr">
        <is>
          <t>B001</t>
        </is>
      </c>
      <c r="G23" t="inlineStr">
        <is>
          <t>ABS</t>
        </is>
      </c>
      <c r="H23" t="n">
        <v>10</v>
      </c>
      <c r="I23" t="inlineStr">
        <is>
          <t>Scatola per palpable con GA e triangoli</t>
        </is>
      </c>
      <c r="J23" s="8" t="n">
        <v>46282.49938152778</v>
      </c>
      <c r="K23" t="inlineStr">
        <is>
          <t>SUBITO</t>
        </is>
      </c>
    </row>
    <row r="24">
      <c r="A24" t="inlineStr">
        <is>
          <t>781cadba-d555-4a79-897d-1361ebfaeb0b</t>
        </is>
      </c>
      <c r="B24" t="inlineStr">
        <is>
          <t>Scatole GA + inserti + triangoli</t>
        </is>
      </c>
      <c r="C24" t="n">
        <v>1800</v>
      </c>
      <c r="D24" s="8" t="n">
        <v>46295.36458333334</v>
      </c>
      <c r="E24" t="n">
        <v>2</v>
      </c>
      <c r="F24" t="inlineStr">
        <is>
          <t>B002</t>
        </is>
      </c>
      <c r="G24" t="inlineStr">
        <is>
          <t>Supporto</t>
        </is>
      </c>
      <c r="H24" t="n">
        <v>10</v>
      </c>
      <c r="I24" t="inlineStr">
        <is>
          <t>Scatola per palpable con GA e triangoli</t>
        </is>
      </c>
      <c r="J24" s="8" t="n">
        <v>46282.49938152778</v>
      </c>
      <c r="K24" t="inlineStr">
        <is>
          <t>SUBITO</t>
        </is>
      </c>
    </row>
    <row r="25">
      <c r="A25" t="inlineStr">
        <is>
          <t>781cadba-d555-4a79-897d-1361ebfaeb0b</t>
        </is>
      </c>
      <c r="B25" t="inlineStr">
        <is>
          <t>Scatole GA + inserti + triangoli</t>
        </is>
      </c>
      <c r="C25" t="n">
        <v>1800</v>
      </c>
      <c r="D25" s="8" t="n">
        <v>46295.36458333334</v>
      </c>
      <c r="E25" t="n">
        <v>3</v>
      </c>
      <c r="F25" t="inlineStr">
        <is>
          <t>B003</t>
        </is>
      </c>
      <c r="G25" t="inlineStr">
        <is>
          <t>ABS</t>
        </is>
      </c>
      <c r="H25" t="n">
        <v>10</v>
      </c>
      <c r="I25" t="inlineStr">
        <is>
          <t>Scatola per palpable con GA e triangoli</t>
        </is>
      </c>
      <c r="J25" s="8" t="n">
        <v>46282.49938152778</v>
      </c>
      <c r="K25" t="inlineStr">
        <is>
          <t>SUBITO</t>
        </is>
      </c>
    </row>
    <row r="26">
      <c r="D26" s="8" t="n"/>
      <c r="J26" s="8" t="n"/>
    </row>
    <row r="27">
      <c r="D27" s="8" t="n"/>
      <c r="J27" s="8" t="n"/>
    </row>
    <row r="28">
      <c r="D28" s="8" t="n"/>
      <c r="J28" s="8" t="n"/>
    </row>
    <row r="29">
      <c r="D29" s="8" t="n"/>
      <c r="J29" s="8" t="n"/>
    </row>
    <row r="30">
      <c r="D30" s="8" t="n"/>
      <c r="J30" s="8" t="n"/>
    </row>
    <row r="31">
      <c r="D31" s="8" t="n"/>
      <c r="J31" s="8" t="n"/>
    </row>
    <row r="32">
      <c r="D32" s="8" t="n"/>
      <c r="J32" s="8" t="n"/>
    </row>
    <row r="33">
      <c r="D33" s="8" t="n"/>
      <c r="J33" s="8" t="n"/>
    </row>
    <row r="34">
      <c r="D34" s="8" t="n"/>
      <c r="J34" s="8" t="n"/>
    </row>
    <row r="35">
      <c r="A35" t="inlineStr">
        <is>
          <t>69052155-c1a0-43b9-8439-a6123a3ad699</t>
        </is>
      </c>
      <c r="B35" t="inlineStr">
        <is>
          <t>Phantom3</t>
        </is>
      </c>
      <c r="C35" t="n">
        <v>4082</v>
      </c>
      <c r="D35" s="8" t="n">
        <v>46290.34375</v>
      </c>
      <c r="E35" t="n">
        <v>1</v>
      </c>
      <c r="F35" t="inlineStr">
        <is>
          <t>B001</t>
        </is>
      </c>
      <c r="G35" t="inlineStr">
        <is>
          <t>ABS</t>
        </is>
      </c>
      <c r="H35" t="n">
        <v>770</v>
      </c>
      <c r="J35" s="8" t="n">
        <v>46288.55052651621</v>
      </c>
      <c r="K35" t="inlineStr">
        <is>
          <t>Quando possibile</t>
        </is>
      </c>
    </row>
    <row r="36">
      <c r="A36" t="inlineStr">
        <is>
          <t>69052155-c1a0-43b9-8439-a6123a3ad699</t>
        </is>
      </c>
      <c r="B36" t="inlineStr">
        <is>
          <t>Phantom3</t>
        </is>
      </c>
      <c r="C36" t="n">
        <v>4082</v>
      </c>
      <c r="D36" s="8" t="n">
        <v>46290.34375</v>
      </c>
      <c r="E36" t="n">
        <v>2</v>
      </c>
      <c r="F36" t="inlineStr">
        <is>
          <t>B002</t>
        </is>
      </c>
      <c r="G36" t="inlineStr">
        <is>
          <t>Supporto</t>
        </is>
      </c>
      <c r="H36" t="n">
        <v>10</v>
      </c>
      <c r="J36" s="8" t="n">
        <v>46288.55052651621</v>
      </c>
      <c r="K36" t="inlineStr">
        <is>
          <t>Quando possibile</t>
        </is>
      </c>
    </row>
    <row r="37">
      <c r="A37" t="inlineStr">
        <is>
          <t>6f27b987-4a29-4e1c-b722-03e190820314</t>
        </is>
      </c>
      <c r="B37" t="inlineStr">
        <is>
          <t>Tappo+Mold1-francesca</t>
        </is>
      </c>
      <c r="C37" t="n">
        <v>480</v>
      </c>
      <c r="D37" s="8" t="n">
        <v>46293.35416666666</v>
      </c>
      <c r="E37" t="n">
        <v>1</v>
      </c>
      <c r="F37" t="inlineStr">
        <is>
          <t>B001</t>
        </is>
      </c>
      <c r="G37" t="inlineStr">
        <is>
          <t>ABS</t>
        </is>
      </c>
      <c r="H37" t="n">
        <v>23</v>
      </c>
      <c r="J37" s="8" t="n">
        <v>46288.55502356481</v>
      </c>
      <c r="K37" t="inlineStr">
        <is>
          <t>Quando possibile</t>
        </is>
      </c>
    </row>
    <row r="38">
      <c r="A38" t="inlineStr">
        <is>
          <t>6f27b987-4a29-4e1c-b722-03e190820314</t>
        </is>
      </c>
      <c r="B38" t="inlineStr">
        <is>
          <t>Tappo+Mold1-francesca</t>
        </is>
      </c>
      <c r="C38" t="n">
        <v>480</v>
      </c>
      <c r="D38" s="8" t="n">
        <v>46293.35416666666</v>
      </c>
      <c r="E38" t="n">
        <v>2</v>
      </c>
      <c r="F38" t="inlineStr">
        <is>
          <t>B002</t>
        </is>
      </c>
      <c r="G38" t="inlineStr">
        <is>
          <t>Supporto</t>
        </is>
      </c>
      <c r="H38" t="n">
        <v>18</v>
      </c>
      <c r="J38" s="8" t="n">
        <v>46288.55502356481</v>
      </c>
      <c r="K38" t="inlineStr">
        <is>
          <t>Quando possibile</t>
        </is>
      </c>
    </row>
    <row r="39">
      <c r="A39" t="inlineStr">
        <is>
          <t>90acf047-232c-4e50-9b5c-f9c02ee4f75f</t>
        </is>
      </c>
      <c r="B39" t="inlineStr">
        <is>
          <t>Supporti inferiori phantom</t>
        </is>
      </c>
      <c r="C39" t="n">
        <v>480</v>
      </c>
      <c r="D39" s="8" t="n">
        <v>46293.72916666666</v>
      </c>
      <c r="E39" t="n">
        <v>1</v>
      </c>
      <c r="F39" t="inlineStr">
        <is>
          <t>B001</t>
        </is>
      </c>
      <c r="G39" t="inlineStr">
        <is>
          <t>ABS</t>
        </is>
      </c>
      <c r="H39" t="n">
        <v>50</v>
      </c>
      <c r="J39" s="8" t="n">
        <v>46288.55711079861</v>
      </c>
      <c r="K39" t="inlineStr">
        <is>
          <t>Quando possibile</t>
        </is>
      </c>
    </row>
    <row r="40">
      <c r="A40" t="inlineStr">
        <is>
          <t>90acf047-232c-4e50-9b5c-f9c02ee4f75f</t>
        </is>
      </c>
      <c r="B40" t="inlineStr">
        <is>
          <t>Supporti inferiori phantom</t>
        </is>
      </c>
      <c r="C40" t="n">
        <v>480</v>
      </c>
      <c r="D40" s="8" t="n">
        <v>46293.72916666666</v>
      </c>
      <c r="E40" t="n">
        <v>2</v>
      </c>
      <c r="F40" t="inlineStr">
        <is>
          <t>B002</t>
        </is>
      </c>
      <c r="G40" t="inlineStr">
        <is>
          <t>Supporto</t>
        </is>
      </c>
      <c r="H40" t="n">
        <v>9</v>
      </c>
      <c r="J40" s="8" t="n">
        <v>46288.55711079861</v>
      </c>
      <c r="K40" t="inlineStr">
        <is>
          <t>Quando possibile</t>
        </is>
      </c>
    </row>
    <row r="41">
      <c r="A41" t="inlineStr">
        <is>
          <t>33554ca2-afa2-4c26-b59a-ccf371ed3a61</t>
        </is>
      </c>
      <c r="B41" t="inlineStr">
        <is>
          <t>Colon Keychain</t>
        </is>
      </c>
      <c r="C41" t="n">
        <v>2160</v>
      </c>
      <c r="D41" s="8" t="n">
        <v>46288.70833333334</v>
      </c>
      <c r="E41" t="n">
        <v>1</v>
      </c>
      <c r="F41" t="inlineStr">
        <is>
          <t>B001</t>
        </is>
      </c>
      <c r="G41" t="inlineStr">
        <is>
          <t>ABS</t>
        </is>
      </c>
      <c r="H41" t="n">
        <v>10</v>
      </c>
      <c r="J41" s="8" t="n">
        <v>46288.55842799768</v>
      </c>
      <c r="K41" t="inlineStr">
        <is>
          <t>Quando possibile</t>
        </is>
      </c>
    </row>
    <row r="42">
      <c r="A42" t="inlineStr">
        <is>
          <t>33554ca2-afa2-4c26-b59a-ccf371ed3a61</t>
        </is>
      </c>
      <c r="B42" t="inlineStr">
        <is>
          <t>Colon Keychain</t>
        </is>
      </c>
      <c r="C42" t="n">
        <v>2160</v>
      </c>
      <c r="D42" s="8" t="n">
        <v>46288.70833333334</v>
      </c>
      <c r="E42" t="n">
        <v>2</v>
      </c>
      <c r="F42" t="inlineStr">
        <is>
          <t>B002</t>
        </is>
      </c>
      <c r="G42" t="inlineStr">
        <is>
          <t>Supporto</t>
        </is>
      </c>
      <c r="H42" t="n">
        <v>10</v>
      </c>
      <c r="J42" s="8" t="n">
        <v>46288.55842799768</v>
      </c>
      <c r="K42" t="inlineStr">
        <is>
          <t>Quando possibile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2026-09-15T09:49:14Z</dcterms:created>
  <dcterms:modified xsi:type="dcterms:W3CDTF">2026-09-29T09:36:03Z</dcterms:modified>
  <cp:lastModifiedBy>Luigi Muratore</cp:lastModifiedBy>
</cp:coreProperties>
</file>